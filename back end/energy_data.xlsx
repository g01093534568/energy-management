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gihogang/Desktop/에너지 관리/back end/"/>
    </mc:Choice>
  </mc:AlternateContent>
  <xr:revisionPtr revIDLastSave="0" documentId="13_ncr:1_{75EC25D0-3F40-3E4A-8624-B6A7A22D27E1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EnergyData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2" i="1" l="1"/>
  <c r="M51" i="1"/>
  <c r="M50" i="1"/>
  <c r="M49" i="1"/>
  <c r="M48" i="1"/>
  <c r="M47" i="1"/>
  <c r="M46" i="1"/>
  <c r="M45" i="1"/>
  <c r="M44" i="1"/>
  <c r="M43" i="1"/>
  <c r="M42" i="1"/>
  <c r="M41" i="1"/>
  <c r="G64" i="1"/>
  <c r="F64" i="1"/>
  <c r="E64" i="1"/>
  <c r="D64" i="1"/>
  <c r="G63" i="1"/>
  <c r="F63" i="1"/>
  <c r="E63" i="1"/>
  <c r="D63" i="1"/>
  <c r="G62" i="1"/>
  <c r="F62" i="1"/>
  <c r="E62" i="1"/>
  <c r="D62" i="1"/>
  <c r="G61" i="1"/>
  <c r="F61" i="1"/>
  <c r="E61" i="1"/>
  <c r="D61" i="1"/>
  <c r="G60" i="1"/>
  <c r="F60" i="1"/>
  <c r="E60" i="1"/>
  <c r="D60" i="1"/>
  <c r="G59" i="1"/>
  <c r="F59" i="1"/>
  <c r="E59" i="1"/>
  <c r="D59" i="1"/>
  <c r="G58" i="1"/>
  <c r="F58" i="1"/>
  <c r="E58" i="1"/>
  <c r="D58" i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D52" i="1"/>
  <c r="G52" i="1"/>
  <c r="F52" i="1"/>
  <c r="E52" i="1"/>
  <c r="D51" i="1"/>
  <c r="G51" i="1"/>
  <c r="F51" i="1"/>
  <c r="E51" i="1"/>
  <c r="D50" i="1"/>
  <c r="G50" i="1"/>
  <c r="F50" i="1"/>
  <c r="E50" i="1"/>
  <c r="D49" i="1"/>
  <c r="G49" i="1"/>
  <c r="F49" i="1"/>
  <c r="E49" i="1"/>
  <c r="D48" i="1"/>
  <c r="G48" i="1"/>
  <c r="F48" i="1"/>
  <c r="E48" i="1"/>
  <c r="D47" i="1"/>
  <c r="G47" i="1"/>
  <c r="F47" i="1"/>
  <c r="E47" i="1"/>
  <c r="D46" i="1"/>
  <c r="G46" i="1"/>
  <c r="F46" i="1"/>
  <c r="E46" i="1"/>
  <c r="D45" i="1"/>
  <c r="G45" i="1"/>
  <c r="F45" i="1"/>
  <c r="E45" i="1"/>
  <c r="D44" i="1"/>
  <c r="G44" i="1"/>
  <c r="F44" i="1"/>
  <c r="E44" i="1"/>
  <c r="D43" i="1"/>
  <c r="G43" i="1"/>
  <c r="F43" i="1"/>
  <c r="E43" i="1"/>
  <c r="D42" i="1"/>
  <c r="G42" i="1"/>
  <c r="F42" i="1"/>
  <c r="E42" i="1"/>
  <c r="D41" i="1"/>
  <c r="G41" i="1"/>
  <c r="F41" i="1"/>
  <c r="E41" i="1"/>
  <c r="E40" i="1"/>
  <c r="F40" i="1"/>
  <c r="G40" i="1"/>
  <c r="E39" i="1"/>
  <c r="F39" i="1"/>
  <c r="G39" i="1"/>
  <c r="E38" i="1"/>
  <c r="F38" i="1"/>
  <c r="G38" i="1"/>
  <c r="E37" i="1"/>
  <c r="F37" i="1"/>
  <c r="G37" i="1"/>
  <c r="E36" i="1"/>
  <c r="F36" i="1"/>
  <c r="G36" i="1"/>
  <c r="E35" i="1"/>
  <c r="F35" i="1"/>
  <c r="G35" i="1"/>
  <c r="E34" i="1"/>
  <c r="F34" i="1"/>
  <c r="G34" i="1"/>
  <c r="E33" i="1"/>
  <c r="F33" i="1"/>
  <c r="G33" i="1"/>
  <c r="E32" i="1"/>
  <c r="F32" i="1"/>
  <c r="G32" i="1"/>
  <c r="E31" i="1"/>
  <c r="F31" i="1"/>
  <c r="G31" i="1"/>
  <c r="E30" i="1"/>
  <c r="F30" i="1"/>
  <c r="G30" i="1"/>
  <c r="E29" i="1"/>
  <c r="F29" i="1"/>
  <c r="G29" i="1"/>
  <c r="M28" i="1"/>
  <c r="G28" i="1"/>
  <c r="F28" i="1"/>
  <c r="E28" i="1"/>
  <c r="D28" i="1"/>
  <c r="M27" i="1"/>
  <c r="G27" i="1"/>
  <c r="F27" i="1"/>
  <c r="E27" i="1"/>
  <c r="D27" i="1"/>
  <c r="M26" i="1"/>
  <c r="G26" i="1"/>
  <c r="F26" i="1"/>
  <c r="E26" i="1"/>
  <c r="D26" i="1"/>
  <c r="M25" i="1"/>
  <c r="G25" i="1"/>
  <c r="F25" i="1"/>
  <c r="E25" i="1"/>
  <c r="D25" i="1"/>
  <c r="M24" i="1"/>
  <c r="G24" i="1"/>
  <c r="F24" i="1"/>
  <c r="E24" i="1"/>
  <c r="D24" i="1"/>
  <c r="M23" i="1"/>
  <c r="G23" i="1"/>
  <c r="F23" i="1"/>
  <c r="E23" i="1"/>
  <c r="D23" i="1"/>
  <c r="M22" i="1"/>
  <c r="G22" i="1"/>
  <c r="F22" i="1"/>
  <c r="E22" i="1"/>
  <c r="D22" i="1"/>
  <c r="M21" i="1"/>
  <c r="G21" i="1"/>
  <c r="F21" i="1"/>
  <c r="E21" i="1"/>
  <c r="D21" i="1"/>
  <c r="M20" i="1"/>
  <c r="G20" i="1"/>
  <c r="F20" i="1"/>
  <c r="E20" i="1"/>
  <c r="D20" i="1"/>
  <c r="M19" i="1"/>
  <c r="G19" i="1"/>
  <c r="F19" i="1"/>
  <c r="E19" i="1"/>
  <c r="D19" i="1"/>
  <c r="M18" i="1"/>
  <c r="G18" i="1"/>
  <c r="F18" i="1"/>
  <c r="E18" i="1"/>
  <c r="D18" i="1"/>
  <c r="M17" i="1"/>
  <c r="G17" i="1"/>
  <c r="F17" i="1"/>
  <c r="E17" i="1"/>
  <c r="D17" i="1"/>
  <c r="M16" i="1"/>
  <c r="G16" i="1"/>
  <c r="F16" i="1"/>
  <c r="E16" i="1"/>
  <c r="D16" i="1"/>
  <c r="M15" i="1"/>
  <c r="G15" i="1"/>
  <c r="F15" i="1"/>
  <c r="E15" i="1"/>
  <c r="D15" i="1"/>
  <c r="M14" i="1"/>
  <c r="G14" i="1"/>
  <c r="F14" i="1"/>
  <c r="E14" i="1"/>
  <c r="D14" i="1"/>
  <c r="M13" i="1"/>
  <c r="G13" i="1"/>
  <c r="F13" i="1"/>
  <c r="E13" i="1"/>
  <c r="D13" i="1"/>
  <c r="M12" i="1"/>
  <c r="G12" i="1"/>
  <c r="F12" i="1"/>
  <c r="E12" i="1"/>
  <c r="D12" i="1"/>
  <c r="M11" i="1"/>
  <c r="G11" i="1"/>
  <c r="F11" i="1"/>
  <c r="E11" i="1"/>
  <c r="D11" i="1"/>
  <c r="M10" i="1"/>
  <c r="G10" i="1"/>
  <c r="F10" i="1"/>
  <c r="E10" i="1"/>
  <c r="D10" i="1"/>
  <c r="M9" i="1"/>
  <c r="G9" i="1"/>
  <c r="F9" i="1"/>
  <c r="E9" i="1"/>
  <c r="D9" i="1"/>
  <c r="M8" i="1"/>
  <c r="G8" i="1"/>
  <c r="F8" i="1"/>
  <c r="E8" i="1"/>
  <c r="D8" i="1"/>
  <c r="M7" i="1"/>
  <c r="G7" i="1"/>
  <c r="F7" i="1"/>
  <c r="E7" i="1"/>
  <c r="D7" i="1"/>
  <c r="M6" i="1"/>
  <c r="G6" i="1"/>
  <c r="F6" i="1"/>
  <c r="E6" i="1"/>
  <c r="D6" i="1"/>
  <c r="M5" i="1"/>
  <c r="G5" i="1"/>
  <c r="F5" i="1"/>
  <c r="E5" i="1"/>
  <c r="D5" i="1"/>
</calcChain>
</file>

<file path=xl/sharedStrings.xml><?xml version="1.0" encoding="utf-8"?>
<sst xmlns="http://schemas.openxmlformats.org/spreadsheetml/2006/main" count="251" uniqueCount="33">
  <si>
    <t>에너지 사용 내역</t>
    <phoneticPr fontId="4" type="noConversion"/>
  </si>
  <si>
    <t>(단위 : 원)</t>
    <phoneticPr fontId="4" type="noConversion"/>
  </si>
  <si>
    <t>년도</t>
    <phoneticPr fontId="4" type="noConversion"/>
  </si>
  <si>
    <t>월</t>
    <phoneticPr fontId="4" type="noConversion"/>
  </si>
  <si>
    <t>고객번호(뒷자리)</t>
    <phoneticPr fontId="4" type="noConversion"/>
  </si>
  <si>
    <t>에너지종류</t>
    <phoneticPr fontId="4" type="noConversion"/>
  </si>
  <si>
    <t>사용시설</t>
    <phoneticPr fontId="4" type="noConversion"/>
  </si>
  <si>
    <t>가상계좌</t>
    <phoneticPr fontId="4" type="noConversion"/>
  </si>
  <si>
    <t>고객번호</t>
    <phoneticPr fontId="4" type="noConversion"/>
  </si>
  <si>
    <t>사용기간</t>
    <phoneticPr fontId="4" type="noConversion"/>
  </si>
  <si>
    <t>사용량</t>
    <phoneticPr fontId="4" type="noConversion"/>
  </si>
  <si>
    <t>사용금액</t>
    <phoneticPr fontId="4" type="noConversion"/>
  </si>
  <si>
    <t>비고</t>
    <phoneticPr fontId="4" type="noConversion"/>
  </si>
  <si>
    <t>2025년</t>
    <phoneticPr fontId="4" type="noConversion"/>
  </si>
  <si>
    <t>1월</t>
    <phoneticPr fontId="4" type="noConversion"/>
  </si>
  <si>
    <t>~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</si>
  <si>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</si>
  <si>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</si>
  <si>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</si>
  <si>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</si>
  <si>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</si>
  <si>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7월</t>
    <phoneticPr fontId="4" type="noConversion"/>
  </si>
  <si>
    <t>8월</t>
    <phoneticPr fontId="4" type="noConversion"/>
  </si>
  <si>
    <t>9월</t>
    <phoneticPr fontId="4" type="noConversion"/>
  </si>
  <si>
    <t>10월</t>
    <phoneticPr fontId="4" type="noConversion"/>
  </si>
  <si>
    <t>11월</t>
    <phoneticPr fontId="4" type="noConversion"/>
  </si>
  <si>
    <t>12월</t>
    <phoneticPr fontId="4" type="noConversion"/>
  </si>
  <si>
    <t>0366</t>
    <phoneticPr fontId="4" type="noConversion"/>
  </si>
  <si>
    <t>9얼</t>
    <phoneticPr fontId="4" type="noConversion"/>
  </si>
  <si>
    <t xml:space="preserve">2025년 </t>
    <phoneticPr fontId="4" type="noConversion"/>
  </si>
  <si>
    <t>0011</t>
    <phoneticPr fontId="4" type="noConversion"/>
  </si>
  <si>
    <t>도시가스</t>
    <phoneticPr fontId="4" type="noConversion"/>
  </si>
  <si>
    <t>전기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</si>
</sst>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76" formatCode="0_);[Red]\(0\)"/>
    <numFmt numFmtId="177" formatCode="yyyy\.mm\.dd\."/>
    <numFmt numFmtId="178" formatCode="######\-##\-######"/>
    <numFmt numFmtId="179" formatCode="0_ "/>
  </numFmts>
  <fonts count="6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0"/>
      <color theme="1"/>
      <name val="KoPub돋움체 Light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KoPub돋움체 Light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2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176" fontId="5" fillId="0" borderId="0" xfId="0" applyNumberFormat="1" applyFont="1" applyAlignment="1">
      <alignment horizontal="centerContinuous" vertical="center"/>
    </xf>
    <xf numFmtId="177" fontId="5" fillId="0" borderId="0" xfId="0" applyNumberFormat="1" applyFont="1" applyAlignment="1">
      <alignment horizontal="centerContinuous" vertical="center"/>
    </xf>
    <xf numFmtId="41" fontId="5" fillId="0" borderId="0" xfId="1" applyFont="1" applyBorder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41" fontId="2" fillId="0" borderId="0" xfId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Continuous" vertical="center"/>
    </xf>
    <xf numFmtId="0" fontId="2" fillId="0" borderId="0" xfId="0" quotePrefix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38" fontId="2" fillId="0" borderId="0" xfId="0" applyNumberFormat="1" applyFont="1" applyAlignment="1">
      <alignment horizontal="center" vertical="center"/>
    </xf>
    <xf numFmtId="41" fontId="2" fillId="0" borderId="0" xfId="1" applyFont="1" applyFill="1" applyBorder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X31/%5b&#4363;&#4453;&#4536;&#4358;&#4462;%5d/%5b2025&#4354;&#4455;&#4523;%5d/700%20&#4361;&#4469;&#4361;&#4453;&#4527;&#4352;&#4458;&#4523;&#4357;&#4469;/710%20&#4361;&#4469;&#4361;&#4453;&#4527;&#4358;&#4462;&#4527;%20&#4363;&#4462;&#4523;&#4363;&#4455;&#4540;/&#4352;&#4457;&#4540;&#4352;&#4457;&#4540;&#4363;&#4461;&#4352;&#4467;&#4535;/2025&#4354;&#4455;&#4523;%20&#4352;&#4457;&#4540;&#4352;&#4457;&#4540;&#4363;&#4461;&#4352;&#4467;&#4535;(&#4361;&#4453;&#4359;&#4462;&#4354;&#4457;&#4363;&#4469;&#4523;&#4359;&#4457;&#4520;&#4364;&#4469;&#4352;&#4458;&#4523;).xlsx" TargetMode="External"/><Relationship Id="rId1" Type="http://schemas.openxmlformats.org/officeDocument/2006/relationships/externalLinkPath" Target="/Volumes/X31/%5b&#4363;&#4453;&#4536;&#4358;&#4462;%5d/%5b2025&#4354;&#4455;&#4523;%5d/700%20&#4361;&#4469;&#4361;&#4453;&#4527;&#4352;&#4458;&#4523;&#4357;&#4469;/710%20&#4361;&#4469;&#4361;&#4453;&#4527;&#4358;&#4462;&#4527;%20&#4363;&#4462;&#4523;&#4363;&#4455;&#4540;/&#4352;&#4457;&#4540;&#4352;&#4457;&#4540;&#4363;&#4461;&#4352;&#4467;&#4535;/2025&#4354;&#4455;&#4523;%20&#4352;&#4457;&#4540;&#4352;&#4457;&#4540;&#4363;&#4461;&#4352;&#4467;&#4535;(&#4361;&#4453;&#4359;&#4462;&#4354;&#4457;&#4363;&#4469;&#4523;&#4359;&#4457;&#4520;&#4364;&#4469;&#4352;&#4458;&#4523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예산 대비 지출"/>
      <sheetName val="전기요금 납부내역"/>
      <sheetName val="상하수도 납부내역"/>
      <sheetName val="통신료 납부내역"/>
      <sheetName val="도시가스 납부내역"/>
      <sheetName val="data(전기)"/>
      <sheetName val="data(상하수도)"/>
      <sheetName val="data(통신)"/>
      <sheetName val="data(도시가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0366</v>
          </cell>
          <cell r="B3" t="str">
            <v>04 3208 0366</v>
          </cell>
          <cell r="C3" t="str">
            <v>서부노인복지관</v>
          </cell>
          <cell r="D3" t="str">
            <v>108874-64-308282</v>
          </cell>
        </row>
        <row r="31">
          <cell r="A31"/>
        </row>
        <row r="32">
          <cell r="A32"/>
        </row>
        <row r="39">
          <cell r="A39"/>
          <cell r="B39"/>
          <cell r="C39"/>
          <cell r="D39"/>
        </row>
        <row r="40">
          <cell r="A40"/>
          <cell r="B40"/>
          <cell r="C40"/>
          <cell r="D40"/>
        </row>
        <row r="41">
          <cell r="A41"/>
          <cell r="B41"/>
          <cell r="C41"/>
          <cell r="D41"/>
        </row>
        <row r="42">
          <cell r="A42"/>
          <cell r="B42"/>
          <cell r="C42"/>
          <cell r="D42"/>
        </row>
        <row r="43">
          <cell r="A43"/>
          <cell r="B43"/>
          <cell r="C43"/>
          <cell r="D43"/>
        </row>
        <row r="44">
          <cell r="A44"/>
          <cell r="B44"/>
          <cell r="C44"/>
          <cell r="D44"/>
        </row>
        <row r="45">
          <cell r="A45"/>
          <cell r="B45"/>
          <cell r="C45"/>
          <cell r="D45"/>
        </row>
      </sheetData>
      <sheetData sheetId="6" refreshError="1">
        <row r="3">
          <cell r="A3" t="str">
            <v>0011</v>
          </cell>
          <cell r="B3">
            <v>2008600011</v>
          </cell>
          <cell r="C3" t="str">
            <v>서부노인복지관</v>
          </cell>
          <cell r="D3">
            <v>12400064902252</v>
          </cell>
          <cell r="E3" t="str">
            <v>상하수도</v>
          </cell>
        </row>
        <row r="4">
          <cell r="A4"/>
          <cell r="B4"/>
          <cell r="C4"/>
          <cell r="D4"/>
          <cell r="E4"/>
        </row>
        <row r="5">
          <cell r="A5"/>
          <cell r="B5"/>
          <cell r="C5"/>
          <cell r="D5"/>
          <cell r="E5"/>
        </row>
        <row r="6">
          <cell r="A6"/>
          <cell r="B6"/>
          <cell r="C6"/>
          <cell r="D6"/>
          <cell r="E6"/>
        </row>
        <row r="7">
          <cell r="A7"/>
          <cell r="B7"/>
          <cell r="C7"/>
          <cell r="D7"/>
          <cell r="E7"/>
        </row>
        <row r="8">
          <cell r="A8"/>
          <cell r="B8"/>
          <cell r="C8"/>
          <cell r="D8"/>
          <cell r="E8"/>
        </row>
        <row r="9">
          <cell r="A9"/>
          <cell r="B9"/>
          <cell r="C9"/>
          <cell r="D9"/>
          <cell r="E9"/>
        </row>
        <row r="10">
          <cell r="A10"/>
          <cell r="B10"/>
          <cell r="C10"/>
          <cell r="D10"/>
          <cell r="E10"/>
        </row>
        <row r="11">
          <cell r="A11"/>
          <cell r="B11"/>
          <cell r="C11"/>
          <cell r="D11"/>
          <cell r="E11"/>
        </row>
        <row r="12">
          <cell r="A12"/>
          <cell r="B12"/>
          <cell r="C12"/>
          <cell r="D12"/>
          <cell r="E12"/>
        </row>
        <row r="13">
          <cell r="A13"/>
          <cell r="B13"/>
          <cell r="C13"/>
          <cell r="D13"/>
          <cell r="E13"/>
        </row>
        <row r="14">
          <cell r="A14"/>
          <cell r="B14"/>
          <cell r="C14"/>
          <cell r="D14"/>
          <cell r="E14"/>
        </row>
        <row r="15">
          <cell r="A15"/>
          <cell r="B15"/>
          <cell r="C15"/>
          <cell r="D15"/>
          <cell r="E15"/>
        </row>
        <row r="16">
          <cell r="A16"/>
          <cell r="B16"/>
          <cell r="C16"/>
          <cell r="D16"/>
          <cell r="E16"/>
        </row>
        <row r="17">
          <cell r="A17"/>
          <cell r="B17"/>
          <cell r="C17"/>
          <cell r="D17"/>
          <cell r="E17"/>
        </row>
        <row r="18">
          <cell r="A18"/>
          <cell r="B18"/>
          <cell r="C18"/>
          <cell r="D18"/>
          <cell r="E18"/>
        </row>
      </sheetData>
      <sheetData sheetId="7" refreshError="1">
        <row r="2">
          <cell r="A2">
            <v>8080</v>
          </cell>
          <cell r="B2">
            <v>40001498080</v>
          </cell>
          <cell r="C2" t="str">
            <v>790046-88-971130</v>
          </cell>
          <cell r="D2" t="str">
            <v>통신료</v>
          </cell>
          <cell r="E2" t="str">
            <v>서부노인복지관</v>
          </cell>
          <cell r="F2" t="str">
            <v>kt</v>
          </cell>
        </row>
        <row r="3">
          <cell r="A3">
            <v>7567</v>
          </cell>
          <cell r="B3">
            <v>94030227567</v>
          </cell>
          <cell r="C3" t="str">
            <v>790193-09-789821</v>
          </cell>
          <cell r="D3" t="str">
            <v>통신료</v>
          </cell>
          <cell r="E3" t="str">
            <v>서부노인복지관</v>
          </cell>
          <cell r="F3" t="str">
            <v>kt</v>
          </cell>
        </row>
      </sheetData>
      <sheetData sheetId="8" refreshError="1">
        <row r="2">
          <cell r="A2">
            <v>1110</v>
          </cell>
          <cell r="B2" t="str">
            <v>000062101110</v>
          </cell>
          <cell r="C2" t="str">
            <v>790012-14-657928</v>
          </cell>
          <cell r="D2" t="str">
            <v>도시가스</v>
          </cell>
          <cell r="E2" t="str">
            <v>서부노인복지관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topLeftCell="A5" workbookViewId="0">
      <selection activeCell="M29" sqref="M29:M52"/>
    </sheetView>
  </sheetViews>
  <sheetFormatPr baseColWidth="10" defaultColWidth="7.7109375" defaultRowHeight="14"/>
  <cols>
    <col min="1" max="2" width="7.7109375" style="6"/>
    <col min="3" max="4" width="10.5703125" style="6" customWidth="1"/>
    <col min="5" max="5" width="21.28515625" style="6" bestFit="1" customWidth="1"/>
    <col min="6" max="6" width="15" style="7" bestFit="1" customWidth="1"/>
    <col min="7" max="7" width="13.85546875" style="6" customWidth="1"/>
    <col min="8" max="8" width="14.42578125" style="8" customWidth="1"/>
    <col min="9" max="9" width="3.140625" style="6" customWidth="1"/>
    <col min="10" max="11" width="14.42578125" style="8" customWidth="1"/>
    <col min="12" max="12" width="12.28515625" style="9" customWidth="1"/>
    <col min="13" max="13" width="9.42578125" style="6" bestFit="1" customWidth="1"/>
    <col min="14" max="14" width="7.7109375" style="6"/>
    <col min="15" max="15" width="15.7109375" style="6" bestFit="1" customWidth="1"/>
    <col min="16" max="16" width="10.7109375" style="6" bestFit="1" customWidth="1"/>
    <col min="17" max="17" width="9.85546875" style="6" bestFit="1" customWidth="1"/>
    <col min="18" max="18" width="7.7109375" style="6"/>
    <col min="19" max="19" width="9.85546875" style="6" bestFit="1" customWidth="1"/>
    <col min="20" max="16384" width="7.7109375" style="6"/>
  </cols>
  <sheetData>
    <row r="1" spans="1:13" ht="20" customHeight="1">
      <c r="A1" s="1"/>
      <c r="B1" s="1" t="s">
        <v>0</v>
      </c>
      <c r="C1" s="2"/>
      <c r="D1" s="2"/>
      <c r="E1" s="2"/>
      <c r="F1" s="3"/>
      <c r="G1" s="2"/>
      <c r="H1" s="4"/>
      <c r="I1" s="2"/>
      <c r="J1" s="4"/>
      <c r="K1" s="4"/>
      <c r="L1" s="5"/>
      <c r="M1" s="2"/>
    </row>
    <row r="2" spans="1:13" ht="20" customHeight="1"/>
    <row r="3" spans="1:13" ht="20" customHeight="1">
      <c r="M3" s="6" t="s">
        <v>1</v>
      </c>
    </row>
    <row r="4" spans="1:13" ht="20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6" t="s">
        <v>8</v>
      </c>
      <c r="H4" s="10" t="s">
        <v>9</v>
      </c>
      <c r="I4" s="1"/>
      <c r="J4" s="10"/>
      <c r="K4" s="10" t="s">
        <v>10</v>
      </c>
      <c r="L4" s="9" t="s">
        <v>11</v>
      </c>
      <c r="M4" s="6" t="s">
        <v>12</v>
      </c>
    </row>
    <row r="5" spans="1:13" ht="20" customHeight="1">
      <c r="A5" s="6" t="s">
        <v>13</v>
      </c>
      <c r="B5" s="6" t="s">
        <v>14</v>
      </c>
      <c r="C5" s="11">
        <v>8080</v>
      </c>
      <c r="D5" s="6" t="str">
        <f>VLOOKUP($C5,'[1]data(통신)'!$A$2:$E$3, 4, FALSE)</f>
        <v>통신료</v>
      </c>
      <c r="E5" s="6" t="str">
        <f>VLOOKUP($C5,'[1]data(통신)'!$A$2:$E$3, 5, FALSE)</f>
        <v>서부노인복지관</v>
      </c>
      <c r="F5" s="12" t="str">
        <f>VLOOKUP($C5,'[1]data(통신)'!$A$2:$E$3, 3, FALSE)</f>
        <v>790046-88-971130</v>
      </c>
      <c r="G5" s="6">
        <f>VLOOKUP($C5,'[1]data(통신)'!$A$2:$E$3, 2, FALSE)</f>
        <v>40001498080</v>
      </c>
      <c r="H5" s="8">
        <v>45627</v>
      </c>
      <c r="I5" s="6" t="s">
        <v>15</v>
      </c>
      <c r="J5" s="8">
        <v>45657</v>
      </c>
      <c r="L5" s="9">
        <v>1090480</v>
      </c>
      <c r="M5" s="6" t="str">
        <f>VLOOKUP($C5,'[1]data(통신)'!$A$2:$F$3, 6, FALSE)</f>
        <v>kt</v>
      </c>
    </row>
    <row r="6" spans="1:13" ht="20" customHeight="1">
      <c r="A6" s="6" t="s">
        <v>13</v>
      </c>
      <c r="B6" s="6" t="s">
        <v>14</v>
      </c>
      <c r="C6" s="11">
        <v>7567</v>
      </c>
      <c r="D6" s="6" t="str">
        <f>VLOOKUP($C6,'[1]data(통신)'!$A$2:$E$3, 4, FALSE)</f>
        <v>통신료</v>
      </c>
      <c r="E6" s="6" t="str">
        <f>VLOOKUP($C6,'[1]data(통신)'!$A$2:$E$3, 5, FALSE)</f>
        <v>서부노인복지관</v>
      </c>
      <c r="F6" s="12" t="str">
        <f>VLOOKUP($C6,'[1]data(통신)'!$A$2:$E$3, 3, FALSE)</f>
        <v>790193-09-789821</v>
      </c>
      <c r="G6" s="6">
        <f>VLOOKUP($C6,'[1]data(통신)'!$A$2:$E$3, 2, FALSE)</f>
        <v>94030227567</v>
      </c>
      <c r="H6" s="8">
        <v>45627</v>
      </c>
      <c r="I6" s="6" t="s">
        <v>15</v>
      </c>
      <c r="J6" s="8">
        <v>45657</v>
      </c>
      <c r="L6" s="9">
        <v>122100</v>
      </c>
      <c r="M6" s="6" t="str">
        <f>VLOOKUP($C6,'[1]data(통신)'!$A$2:$F$3, 6, FALSE)</f>
        <v>kt</v>
      </c>
    </row>
    <row r="7" spans="1:13" ht="20" customHeight="1">
      <c r="A7" s="6" t="s">
        <v>13</v>
      </c>
      <c r="B7" s="6" t="s">
        <v>16</v>
      </c>
      <c r="C7" s="11">
        <v>8080</v>
      </c>
      <c r="D7" s="6" t="str">
        <f>VLOOKUP($C7,'[1]data(통신)'!$A$2:$E$3, 4, FALSE)</f>
        <v>통신료</v>
      </c>
      <c r="E7" s="6" t="str">
        <f>VLOOKUP($C7,'[1]data(통신)'!$A$2:$E$3, 5, FALSE)</f>
        <v>서부노인복지관</v>
      </c>
      <c r="F7" s="12" t="str">
        <f>VLOOKUP($C7,'[1]data(통신)'!$A$2:$E$3, 3, FALSE)</f>
        <v>790046-88-971130</v>
      </c>
      <c r="G7" s="6">
        <f>VLOOKUP($C7,'[1]data(통신)'!$A$2:$E$3, 2, FALSE)</f>
        <v>40001498080</v>
      </c>
      <c r="H7" s="8">
        <v>45658</v>
      </c>
      <c r="I7" s="6" t="s">
        <v>15</v>
      </c>
      <c r="J7" s="8">
        <v>45688</v>
      </c>
      <c r="L7" s="9">
        <v>954850</v>
      </c>
      <c r="M7" s="6" t="str">
        <f>VLOOKUP($C7,'[1]data(통신)'!$A$2:$F$3, 6, FALSE)</f>
        <v>kt</v>
      </c>
    </row>
    <row r="8" spans="1:13" ht="20" customHeight="1">
      <c r="A8" s="6" t="s">
        <v>13</v>
      </c>
      <c r="B8" s="6" t="s">
        <v>16</v>
      </c>
      <c r="C8" s="11">
        <v>7567</v>
      </c>
      <c r="D8" s="6" t="str">
        <f>VLOOKUP($C8,'[1]data(통신)'!$A$2:$E$3, 4, FALSE)</f>
        <v>통신료</v>
      </c>
      <c r="E8" s="6" t="str">
        <f>VLOOKUP($C8,'[1]data(통신)'!$A$2:$E$3, 5, FALSE)</f>
        <v>서부노인복지관</v>
      </c>
      <c r="F8" s="12" t="str">
        <f>VLOOKUP($C8,'[1]data(통신)'!$A$2:$E$3, 3, FALSE)</f>
        <v>790193-09-789821</v>
      </c>
      <c r="G8" s="6">
        <f>VLOOKUP($C8,'[1]data(통신)'!$A$2:$E$3, 2, FALSE)</f>
        <v>94030227567</v>
      </c>
      <c r="H8" s="8">
        <v>45658</v>
      </c>
      <c r="I8" s="6" t="s">
        <v>15</v>
      </c>
      <c r="J8" s="8">
        <v>45688</v>
      </c>
      <c r="L8" s="9">
        <v>122100</v>
      </c>
      <c r="M8" s="6" t="str">
        <f>VLOOKUP($C8,'[1]data(통신)'!$A$2:$F$3, 6, FALSE)</f>
        <v>kt</v>
      </c>
    </row>
    <row r="9" spans="1:13" ht="20" customHeight="1">
      <c r="A9" s="6" t="s">
        <v>13</v>
      </c>
      <c r="B9" s="6" t="s">
        <v>17</v>
      </c>
      <c r="C9" s="11">
        <v>7567</v>
      </c>
      <c r="D9" s="6" t="str">
        <f>VLOOKUP($C9,'[1]data(통신)'!$A$2:$E$3, 4, FALSE)</f>
        <v>통신료</v>
      </c>
      <c r="E9" s="6" t="str">
        <f>VLOOKUP($C9,'[1]data(통신)'!$A$2:$E$3, 5, FALSE)</f>
        <v>서부노인복지관</v>
      </c>
      <c r="F9" s="12" t="str">
        <f>VLOOKUP($C9,'[1]data(통신)'!$A$2:$E$3, 3, FALSE)</f>
        <v>790193-09-789821</v>
      </c>
      <c r="G9" s="6">
        <f>VLOOKUP($C9,'[1]data(통신)'!$A$2:$E$3, 2, FALSE)</f>
        <v>94030227567</v>
      </c>
      <c r="H9" s="8">
        <v>45689</v>
      </c>
      <c r="I9" s="6" t="s">
        <v>15</v>
      </c>
      <c r="J9" s="8">
        <v>45716</v>
      </c>
      <c r="L9" s="9">
        <v>122100</v>
      </c>
      <c r="M9" s="6" t="str">
        <f>VLOOKUP($C9,'[1]data(통신)'!$A$2:$F$3, 6, FALSE)</f>
        <v>kt</v>
      </c>
    </row>
    <row r="10" spans="1:13" ht="20" customHeight="1">
      <c r="A10" s="6" t="s">
        <v>13</v>
      </c>
      <c r="B10" s="6" t="s">
        <v>17</v>
      </c>
      <c r="C10" s="11">
        <v>8080</v>
      </c>
      <c r="D10" s="6" t="str">
        <f>VLOOKUP($C10,'[1]data(통신)'!$A$2:$E$3, 4, FALSE)</f>
        <v>통신료</v>
      </c>
      <c r="E10" s="6" t="str">
        <f>VLOOKUP($C10,'[1]data(통신)'!$A$2:$E$3, 5, FALSE)</f>
        <v>서부노인복지관</v>
      </c>
      <c r="F10" s="12" t="str">
        <f>VLOOKUP($C10,'[1]data(통신)'!$A$2:$E$3, 3, FALSE)</f>
        <v>790046-88-971130</v>
      </c>
      <c r="G10" s="6">
        <f>VLOOKUP($C10,'[1]data(통신)'!$A$2:$E$3, 2, FALSE)</f>
        <v>40001498080</v>
      </c>
      <c r="H10" s="8">
        <v>45689</v>
      </c>
      <c r="I10" s="6" t="s">
        <v>15</v>
      </c>
      <c r="J10" s="8">
        <v>45716</v>
      </c>
      <c r="L10" s="9">
        <v>748080</v>
      </c>
      <c r="M10" s="6" t="str">
        <f>VLOOKUP($C10,'[1]data(통신)'!$A$2:$F$3, 6, FALSE)</f>
        <v>kt</v>
      </c>
    </row>
    <row r="11" spans="1:13" ht="20" customHeight="1">
      <c r="A11" s="6" t="s">
        <v>13</v>
      </c>
      <c r="B11" s="6" t="s">
        <v>18</v>
      </c>
      <c r="C11" s="11">
        <v>7567</v>
      </c>
      <c r="D11" s="6" t="str">
        <f>VLOOKUP($C11,'[1]data(통신)'!$A$2:$E$3, 4, FALSE)</f>
        <v>통신료</v>
      </c>
      <c r="E11" s="6" t="str">
        <f>VLOOKUP($C11,'[1]data(통신)'!$A$2:$E$3, 5, FALSE)</f>
        <v>서부노인복지관</v>
      </c>
      <c r="F11" s="12" t="str">
        <f>VLOOKUP($C11,'[1]data(통신)'!$A$2:$E$3, 3, FALSE)</f>
        <v>790193-09-789821</v>
      </c>
      <c r="G11" s="6">
        <f>VLOOKUP($C11,'[1]data(통신)'!$A$2:$E$3, 2, FALSE)</f>
        <v>94030227567</v>
      </c>
      <c r="H11" s="8">
        <v>45717</v>
      </c>
      <c r="I11" s="6" t="s">
        <v>15</v>
      </c>
      <c r="J11" s="8">
        <v>45747</v>
      </c>
      <c r="L11" s="9">
        <v>122100</v>
      </c>
      <c r="M11" s="6" t="str">
        <f>VLOOKUP($C11,'[1]data(통신)'!$A$2:$F$3, 6, FALSE)</f>
        <v>kt</v>
      </c>
    </row>
    <row r="12" spans="1:13" ht="20" customHeight="1">
      <c r="A12" s="6" t="s">
        <v>13</v>
      </c>
      <c r="B12" s="6" t="s">
        <v>18</v>
      </c>
      <c r="C12" s="11">
        <v>8080</v>
      </c>
      <c r="D12" s="6" t="str">
        <f>VLOOKUP($C12,'[1]data(통신)'!$A$2:$E$3, 4, FALSE)</f>
        <v>통신료</v>
      </c>
      <c r="E12" s="6" t="str">
        <f>VLOOKUP($C12,'[1]data(통신)'!$A$2:$E$3, 5, FALSE)</f>
        <v>서부노인복지관</v>
      </c>
      <c r="F12" s="12" t="str">
        <f>VLOOKUP($C12,'[1]data(통신)'!$A$2:$E$3, 3, FALSE)</f>
        <v>790046-88-971130</v>
      </c>
      <c r="G12" s="6">
        <f>VLOOKUP($C12,'[1]data(통신)'!$A$2:$E$3, 2, FALSE)</f>
        <v>40001498080</v>
      </c>
      <c r="H12" s="8">
        <v>45717</v>
      </c>
      <c r="I12" s="6" t="s">
        <v>15</v>
      </c>
      <c r="J12" s="8">
        <v>45747</v>
      </c>
      <c r="L12" s="9">
        <v>1669980</v>
      </c>
      <c r="M12" s="6" t="str">
        <f>VLOOKUP($C12,'[1]data(통신)'!$A$2:$F$3, 6, FALSE)</f>
        <v>kt</v>
      </c>
    </row>
    <row r="13" spans="1:13" ht="20" customHeight="1">
      <c r="A13" s="6" t="s">
        <v>13</v>
      </c>
      <c r="B13" s="6" t="s">
        <v>19</v>
      </c>
      <c r="C13" s="11">
        <v>7567</v>
      </c>
      <c r="D13" s="6" t="str">
        <f>VLOOKUP($C13,'[1]data(통신)'!$A$2:$E$3, 4, FALSE)</f>
        <v>통신료</v>
      </c>
      <c r="E13" s="6" t="str">
        <f>VLOOKUP($C13,'[1]data(통신)'!$A$2:$E$3, 5, FALSE)</f>
        <v>서부노인복지관</v>
      </c>
      <c r="F13" s="12" t="str">
        <f>VLOOKUP($C13,'[1]data(통신)'!$A$2:$E$3, 3, FALSE)</f>
        <v>790193-09-789821</v>
      </c>
      <c r="G13" s="6">
        <f>VLOOKUP($C13,'[1]data(통신)'!$A$2:$E$3, 2, FALSE)</f>
        <v>94030227567</v>
      </c>
      <c r="H13" s="8">
        <v>45748</v>
      </c>
      <c r="I13" s="6" t="s">
        <v>15</v>
      </c>
      <c r="J13" s="8">
        <v>45777</v>
      </c>
      <c r="L13" s="9">
        <v>122100</v>
      </c>
      <c r="M13" s="6" t="str">
        <f>VLOOKUP($C13,'[1]data(통신)'!$A$2:$F$3, 6, FALSE)</f>
        <v>kt</v>
      </c>
    </row>
    <row r="14" spans="1:13" ht="20" customHeight="1">
      <c r="A14" s="6" t="s">
        <v>13</v>
      </c>
      <c r="B14" s="6" t="s">
        <v>19</v>
      </c>
      <c r="C14" s="11">
        <v>8080</v>
      </c>
      <c r="D14" s="6" t="str">
        <f>VLOOKUP($C14,'[1]data(통신)'!$A$2:$E$3, 4, FALSE)</f>
        <v>통신료</v>
      </c>
      <c r="E14" s="6" t="str">
        <f>VLOOKUP($C14,'[1]data(통신)'!$A$2:$E$3, 5, FALSE)</f>
        <v>서부노인복지관</v>
      </c>
      <c r="F14" s="12" t="str">
        <f>VLOOKUP($C14,'[1]data(통신)'!$A$2:$E$3, 3, FALSE)</f>
        <v>790046-88-971130</v>
      </c>
      <c r="G14" s="6">
        <f>VLOOKUP($C14,'[1]data(통신)'!$A$2:$E$3, 2, FALSE)</f>
        <v>40001498080</v>
      </c>
      <c r="H14" s="8">
        <v>45748</v>
      </c>
      <c r="I14" s="6" t="s">
        <v>15</v>
      </c>
      <c r="J14" s="8">
        <v>45777</v>
      </c>
      <c r="L14" s="9">
        <v>1486170</v>
      </c>
      <c r="M14" s="6" t="str">
        <f>VLOOKUP($C14,'[1]data(통신)'!$A$2:$F$3, 6, FALSE)</f>
        <v>kt</v>
      </c>
    </row>
    <row r="15" spans="1:13" ht="20" customHeight="1">
      <c r="A15" s="6" t="s">
        <v>13</v>
      </c>
      <c r="B15" s="6" t="s">
        <v>20</v>
      </c>
      <c r="C15" s="11">
        <v>7567</v>
      </c>
      <c r="D15" s="6" t="str">
        <f>VLOOKUP($C15,'[1]data(통신)'!$A$2:$E$3, 4, FALSE)</f>
        <v>통신료</v>
      </c>
      <c r="E15" s="6" t="str">
        <f>VLOOKUP($C15,'[1]data(통신)'!$A$2:$E$3, 5, FALSE)</f>
        <v>서부노인복지관</v>
      </c>
      <c r="F15" s="12" t="str">
        <f>VLOOKUP($C15,'[1]data(통신)'!$A$2:$E$3, 3, FALSE)</f>
        <v>790193-09-789821</v>
      </c>
      <c r="G15" s="6">
        <f>VLOOKUP($C15,'[1]data(통신)'!$A$2:$E$3, 2, FALSE)</f>
        <v>94030227567</v>
      </c>
      <c r="H15" s="8">
        <v>45778</v>
      </c>
      <c r="I15" s="6" t="s">
        <v>15</v>
      </c>
      <c r="J15" s="8">
        <v>45808</v>
      </c>
      <c r="L15" s="9">
        <v>122100</v>
      </c>
      <c r="M15" s="6" t="str">
        <f>VLOOKUP($C15,'[1]data(통신)'!$A$2:$F$3, 6, FALSE)</f>
        <v>kt</v>
      </c>
    </row>
    <row r="16" spans="1:13" ht="20" customHeight="1">
      <c r="A16" s="6" t="s">
        <v>13</v>
      </c>
      <c r="B16" s="6" t="s">
        <v>20</v>
      </c>
      <c r="C16" s="11">
        <v>8080</v>
      </c>
      <c r="D16" s="6" t="str">
        <f>VLOOKUP($C16,'[1]data(통신)'!$A$2:$E$3, 4, FALSE)</f>
        <v>통신료</v>
      </c>
      <c r="E16" s="6" t="str">
        <f>VLOOKUP($C16,'[1]data(통신)'!$A$2:$E$3, 5, FALSE)</f>
        <v>서부노인복지관</v>
      </c>
      <c r="F16" s="12" t="str">
        <f>VLOOKUP($C16,'[1]data(통신)'!$A$2:$E$3, 3, FALSE)</f>
        <v>790046-88-971130</v>
      </c>
      <c r="G16" s="6">
        <f>VLOOKUP($C16,'[1]data(통신)'!$A$2:$E$3, 2, FALSE)</f>
        <v>40001498080</v>
      </c>
      <c r="H16" s="8">
        <v>45778</v>
      </c>
      <c r="I16" s="6" t="s">
        <v>15</v>
      </c>
      <c r="J16" s="8">
        <v>45808</v>
      </c>
      <c r="L16" s="9">
        <v>1015500</v>
      </c>
      <c r="M16" s="6" t="str">
        <f>VLOOKUP($C16,'[1]data(통신)'!$A$2:$F$3, 6, FALSE)</f>
        <v>kt</v>
      </c>
    </row>
    <row r="17" spans="1:13" ht="20" customHeight="1">
      <c r="A17" s="6" t="s">
        <v>13</v>
      </c>
      <c r="B17" s="6" t="s">
        <v>21</v>
      </c>
      <c r="C17" s="11">
        <v>7567</v>
      </c>
      <c r="D17" s="6" t="str">
        <f>VLOOKUP($C17,'[1]data(통신)'!$A$2:$E$3, 4, FALSE)</f>
        <v>통신료</v>
      </c>
      <c r="E17" s="6" t="str">
        <f>VLOOKUP($C17,'[1]data(통신)'!$A$2:$E$3, 5, FALSE)</f>
        <v>서부노인복지관</v>
      </c>
      <c r="F17" s="12" t="str">
        <f>VLOOKUP($C17,'[1]data(통신)'!$A$2:$E$3, 3, FALSE)</f>
        <v>790193-09-789821</v>
      </c>
      <c r="G17" s="6">
        <f>VLOOKUP($C17,'[1]data(통신)'!$A$2:$E$3, 2, FALSE)</f>
        <v>94030227567</v>
      </c>
      <c r="H17" s="8">
        <v>45809</v>
      </c>
      <c r="I17" s="6" t="s">
        <v>15</v>
      </c>
      <c r="J17" s="8">
        <v>45838</v>
      </c>
      <c r="L17" s="9">
        <v>122100</v>
      </c>
      <c r="M17" s="6" t="str">
        <f>VLOOKUP($C17,'[1]data(통신)'!$A$2:$F$3, 6, FALSE)</f>
        <v>kt</v>
      </c>
    </row>
    <row r="18" spans="1:13" ht="20" customHeight="1">
      <c r="A18" s="6" t="s">
        <v>13</v>
      </c>
      <c r="B18" s="6" t="s">
        <v>21</v>
      </c>
      <c r="C18" s="11">
        <v>8080</v>
      </c>
      <c r="D18" s="6" t="str">
        <f>VLOOKUP($C18,'[1]data(통신)'!$A$2:$E$3, 4, FALSE)</f>
        <v>통신료</v>
      </c>
      <c r="E18" s="6" t="str">
        <f>VLOOKUP($C18,'[1]data(통신)'!$A$2:$E$3, 5, FALSE)</f>
        <v>서부노인복지관</v>
      </c>
      <c r="F18" s="12" t="str">
        <f>VLOOKUP($C18,'[1]data(통신)'!$A$2:$E$3, 3, FALSE)</f>
        <v>790046-88-971130</v>
      </c>
      <c r="G18" s="6">
        <f>VLOOKUP($C18,'[1]data(통신)'!$A$2:$E$3, 2, FALSE)</f>
        <v>40001498080</v>
      </c>
      <c r="H18" s="8">
        <v>45809</v>
      </c>
      <c r="I18" s="6" t="s">
        <v>15</v>
      </c>
      <c r="J18" s="8">
        <v>45838</v>
      </c>
      <c r="L18" s="9">
        <v>723600</v>
      </c>
      <c r="M18" s="6" t="str">
        <f>VLOOKUP($C18,'[1]data(통신)'!$A$2:$F$3, 6, FALSE)</f>
        <v>kt</v>
      </c>
    </row>
    <row r="19" spans="1:13" ht="20" customHeight="1">
      <c r="A19" s="6" t="s">
        <v>13</v>
      </c>
      <c r="B19" s="6" t="s">
        <v>22</v>
      </c>
      <c r="C19" s="11">
        <v>7567</v>
      </c>
      <c r="D19" s="6" t="str">
        <f>VLOOKUP($C19,'[1]data(통신)'!$A$2:$E$3, 4, FALSE)</f>
        <v>통신료</v>
      </c>
      <c r="E19" s="6" t="str">
        <f>VLOOKUP($C19,'[1]data(통신)'!$A$2:$E$3, 5, FALSE)</f>
        <v>서부노인복지관</v>
      </c>
      <c r="F19" s="12" t="str">
        <f>VLOOKUP($C19,'[1]data(통신)'!$A$2:$E$3, 3, FALSE)</f>
        <v>790193-09-789821</v>
      </c>
      <c r="G19" s="6">
        <f>VLOOKUP($C19,'[1]data(통신)'!$A$2:$E$3, 2, FALSE)</f>
        <v>94030227567</v>
      </c>
      <c r="H19" s="8">
        <v>45839</v>
      </c>
      <c r="I19" s="6" t="s">
        <v>15</v>
      </c>
      <c r="J19" s="8">
        <v>45869</v>
      </c>
      <c r="L19" s="9">
        <v>122100</v>
      </c>
      <c r="M19" s="6" t="str">
        <f>VLOOKUP($C19,'[1]data(통신)'!$A$2:$F$3, 6, FALSE)</f>
        <v>kt</v>
      </c>
    </row>
    <row r="20" spans="1:13" ht="20" customHeight="1">
      <c r="A20" s="6" t="s">
        <v>13</v>
      </c>
      <c r="B20" s="6" t="s">
        <v>22</v>
      </c>
      <c r="C20" s="11">
        <v>8080</v>
      </c>
      <c r="D20" s="6" t="str">
        <f>VLOOKUP($C20,'[1]data(통신)'!$A$2:$E$3, 4, FALSE)</f>
        <v>통신료</v>
      </c>
      <c r="E20" s="6" t="str">
        <f>VLOOKUP($C20,'[1]data(통신)'!$A$2:$E$3, 5, FALSE)</f>
        <v>서부노인복지관</v>
      </c>
      <c r="F20" s="12" t="str">
        <f>VLOOKUP($C20,'[1]data(통신)'!$A$2:$E$3, 3, FALSE)</f>
        <v>790046-88-971130</v>
      </c>
      <c r="G20" s="6">
        <f>VLOOKUP($C20,'[1]data(통신)'!$A$2:$E$3, 2, FALSE)</f>
        <v>40001498080</v>
      </c>
      <c r="H20" s="8">
        <v>45839</v>
      </c>
      <c r="I20" s="6" t="s">
        <v>15</v>
      </c>
      <c r="J20" s="8">
        <v>45869</v>
      </c>
      <c r="L20" s="9">
        <v>1441780</v>
      </c>
      <c r="M20" s="6" t="str">
        <f>VLOOKUP($C20,'[1]data(통신)'!$A$2:$F$3, 6, FALSE)</f>
        <v>kt</v>
      </c>
    </row>
    <row r="21" spans="1:13" ht="20" customHeight="1">
      <c r="A21" s="6" t="s">
        <v>13</v>
      </c>
      <c r="B21" s="6" t="s">
        <v>23</v>
      </c>
      <c r="C21" s="11">
        <v>7567</v>
      </c>
      <c r="D21" s="6" t="str">
        <f>VLOOKUP($C21,'[1]data(통신)'!$A$2:$E$3, 4, FALSE)</f>
        <v>통신료</v>
      </c>
      <c r="E21" s="6" t="str">
        <f>VLOOKUP($C21,'[1]data(통신)'!$A$2:$E$3, 5, FALSE)</f>
        <v>서부노인복지관</v>
      </c>
      <c r="F21" s="12" t="str">
        <f>VLOOKUP($C21,'[1]data(통신)'!$A$2:$E$3, 3, FALSE)</f>
        <v>790193-09-789821</v>
      </c>
      <c r="G21" s="6">
        <f>VLOOKUP($C21,'[1]data(통신)'!$A$2:$E$3, 2, FALSE)</f>
        <v>94030227567</v>
      </c>
      <c r="H21" s="8">
        <v>45870</v>
      </c>
      <c r="I21" s="6" t="s">
        <v>15</v>
      </c>
      <c r="J21" s="8">
        <v>45900</v>
      </c>
      <c r="L21" s="9">
        <v>122100</v>
      </c>
      <c r="M21" s="6" t="str">
        <f>VLOOKUP($C21,'[1]data(통신)'!$A$2:$F$3, 6, FALSE)</f>
        <v>kt</v>
      </c>
    </row>
    <row r="22" spans="1:13" ht="20" customHeight="1">
      <c r="A22" s="6" t="s">
        <v>13</v>
      </c>
      <c r="B22" s="6" t="s">
        <v>23</v>
      </c>
      <c r="C22" s="11">
        <v>8080</v>
      </c>
      <c r="D22" s="6" t="str">
        <f>VLOOKUP($C22,'[1]data(통신)'!$A$2:$E$3, 4, FALSE)</f>
        <v>통신료</v>
      </c>
      <c r="E22" s="6" t="str">
        <f>VLOOKUP($C22,'[1]data(통신)'!$A$2:$E$3, 5, FALSE)</f>
        <v>서부노인복지관</v>
      </c>
      <c r="F22" s="12" t="str">
        <f>VLOOKUP($C22,'[1]data(통신)'!$A$2:$E$3, 3, FALSE)</f>
        <v>790046-88-971130</v>
      </c>
      <c r="G22" s="6">
        <f>VLOOKUP($C22,'[1]data(통신)'!$A$2:$E$3, 2, FALSE)</f>
        <v>40001498080</v>
      </c>
      <c r="H22" s="8">
        <v>45870</v>
      </c>
      <c r="I22" s="6" t="s">
        <v>15</v>
      </c>
      <c r="J22" s="8">
        <v>45900</v>
      </c>
      <c r="L22" s="9">
        <v>1265920</v>
      </c>
      <c r="M22" s="6" t="str">
        <f>VLOOKUP($C22,'[1]data(통신)'!$A$2:$F$3, 6, FALSE)</f>
        <v>kt</v>
      </c>
    </row>
    <row r="23" spans="1:13" ht="20" customHeight="1">
      <c r="A23" s="6" t="s">
        <v>13</v>
      </c>
      <c r="B23" s="6" t="s">
        <v>24</v>
      </c>
      <c r="C23" s="11">
        <v>7567</v>
      </c>
      <c r="D23" s="6" t="str">
        <f>VLOOKUP($C23,'[1]data(통신)'!$A$2:$E$3, 4, FALSE)</f>
        <v>통신료</v>
      </c>
      <c r="E23" s="6" t="str">
        <f>VLOOKUP($C23,'[1]data(통신)'!$A$2:$E$3, 5, FALSE)</f>
        <v>서부노인복지관</v>
      </c>
      <c r="F23" s="12" t="str">
        <f>VLOOKUP($C23,'[1]data(통신)'!$A$2:$E$3, 3, FALSE)</f>
        <v>790193-09-789821</v>
      </c>
      <c r="G23" s="6">
        <f>VLOOKUP($C23,'[1]data(통신)'!$A$2:$E$3, 2, FALSE)</f>
        <v>94030227567</v>
      </c>
      <c r="H23" s="8">
        <v>45901</v>
      </c>
      <c r="I23" s="6" t="s">
        <v>15</v>
      </c>
      <c r="J23" s="8">
        <v>45930</v>
      </c>
      <c r="L23" s="9">
        <v>122100</v>
      </c>
      <c r="M23" s="6" t="str">
        <f>VLOOKUP($C23,'[1]data(통신)'!$A$2:$F$3, 6, FALSE)</f>
        <v>kt</v>
      </c>
    </row>
    <row r="24" spans="1:13" ht="20" customHeight="1">
      <c r="A24" s="6" t="s">
        <v>13</v>
      </c>
      <c r="B24" s="6" t="s">
        <v>24</v>
      </c>
      <c r="C24" s="11">
        <v>8080</v>
      </c>
      <c r="D24" s="6" t="str">
        <f>VLOOKUP($C24,'[1]data(통신)'!$A$2:$E$3, 4, FALSE)</f>
        <v>통신료</v>
      </c>
      <c r="E24" s="6" t="str">
        <f>VLOOKUP($C24,'[1]data(통신)'!$A$2:$E$3, 5, FALSE)</f>
        <v>서부노인복지관</v>
      </c>
      <c r="F24" s="12" t="str">
        <f>VLOOKUP($C24,'[1]data(통신)'!$A$2:$E$3, 3, FALSE)</f>
        <v>790046-88-971130</v>
      </c>
      <c r="G24" s="6">
        <f>VLOOKUP($C24,'[1]data(통신)'!$A$2:$E$3, 2, FALSE)</f>
        <v>40001498080</v>
      </c>
      <c r="H24" s="8">
        <v>45901</v>
      </c>
      <c r="I24" s="6" t="s">
        <v>15</v>
      </c>
      <c r="J24" s="8">
        <v>45930</v>
      </c>
      <c r="L24" s="9">
        <v>836770</v>
      </c>
      <c r="M24" s="6" t="str">
        <f>VLOOKUP($C24,'[1]data(통신)'!$A$2:$F$3, 6, FALSE)</f>
        <v>kt</v>
      </c>
    </row>
    <row r="25" spans="1:13" ht="20" customHeight="1">
      <c r="A25" s="6" t="s">
        <v>13</v>
      </c>
      <c r="B25" s="6" t="s">
        <v>25</v>
      </c>
      <c r="C25" s="11">
        <v>7567</v>
      </c>
      <c r="D25" s="6" t="str">
        <f>VLOOKUP($C25,'[1]data(통신)'!$A$2:$E$3, 4, FALSE)</f>
        <v>통신료</v>
      </c>
      <c r="E25" s="6" t="str">
        <f>VLOOKUP($C25,'[1]data(통신)'!$A$2:$E$3, 5, FALSE)</f>
        <v>서부노인복지관</v>
      </c>
      <c r="F25" s="12" t="str">
        <f>VLOOKUP($C25,'[1]data(통신)'!$A$2:$E$3, 3, FALSE)</f>
        <v>790193-09-789821</v>
      </c>
      <c r="G25" s="6">
        <f>VLOOKUP($C25,'[1]data(통신)'!$A$2:$E$3, 2, FALSE)</f>
        <v>94030227567</v>
      </c>
      <c r="H25" s="8">
        <v>45931</v>
      </c>
      <c r="I25" s="6" t="s">
        <v>15</v>
      </c>
      <c r="J25" s="8">
        <v>45961</v>
      </c>
      <c r="L25" s="9">
        <v>122100</v>
      </c>
      <c r="M25" s="6" t="str">
        <f>VLOOKUP($C25,'[1]data(통신)'!$A$2:$F$3, 6, FALSE)</f>
        <v>kt</v>
      </c>
    </row>
    <row r="26" spans="1:13" ht="20" customHeight="1">
      <c r="A26" s="6" t="s">
        <v>13</v>
      </c>
      <c r="B26" s="6" t="s">
        <v>25</v>
      </c>
      <c r="C26" s="11">
        <v>8080</v>
      </c>
      <c r="D26" s="6" t="str">
        <f>VLOOKUP($C26,'[1]data(통신)'!$A$2:$E$3, 4, FALSE)</f>
        <v>통신료</v>
      </c>
      <c r="E26" s="6" t="str">
        <f>VLOOKUP($C26,'[1]data(통신)'!$A$2:$E$3, 5, FALSE)</f>
        <v>서부노인복지관</v>
      </c>
      <c r="F26" s="12" t="str">
        <f>VLOOKUP($C26,'[1]data(통신)'!$A$2:$E$3, 3, FALSE)</f>
        <v>790046-88-971130</v>
      </c>
      <c r="G26" s="6">
        <f>VLOOKUP($C26,'[1]data(통신)'!$A$2:$E$3, 2, FALSE)</f>
        <v>40001498080</v>
      </c>
      <c r="H26" s="8">
        <v>45931</v>
      </c>
      <c r="I26" s="6" t="s">
        <v>15</v>
      </c>
      <c r="J26" s="8">
        <v>45961</v>
      </c>
      <c r="L26" s="9">
        <v>781460</v>
      </c>
      <c r="M26" s="6" t="str">
        <f>VLOOKUP($C26,'[1]data(통신)'!$A$2:$F$3, 6, FALSE)</f>
        <v>kt</v>
      </c>
    </row>
    <row r="27" spans="1:13" ht="20" customHeight="1">
      <c r="A27" s="6" t="s">
        <v>13</v>
      </c>
      <c r="B27" s="6" t="s">
        <v>26</v>
      </c>
      <c r="C27" s="11">
        <v>7567</v>
      </c>
      <c r="D27" s="6" t="str">
        <f>VLOOKUP($C27,'[1]data(통신)'!$A$2:$E$3, 4, FALSE)</f>
        <v>통신료</v>
      </c>
      <c r="E27" s="6" t="str">
        <f>VLOOKUP($C27,'[1]data(통신)'!$A$2:$E$3, 5, FALSE)</f>
        <v>서부노인복지관</v>
      </c>
      <c r="F27" s="12" t="str">
        <f>VLOOKUP($C27,'[1]data(통신)'!$A$2:$E$3, 3, FALSE)</f>
        <v>790193-09-789821</v>
      </c>
      <c r="G27" s="6">
        <f>VLOOKUP($C27,'[1]data(통신)'!$A$2:$E$3, 2, FALSE)</f>
        <v>94030227567</v>
      </c>
      <c r="H27" s="8">
        <v>45962</v>
      </c>
      <c r="I27" s="6" t="s">
        <v>15</v>
      </c>
      <c r="J27" s="8">
        <v>45991</v>
      </c>
      <c r="L27" s="9">
        <v>122100</v>
      </c>
      <c r="M27" s="6" t="str">
        <f>VLOOKUP($C27,'[1]data(통신)'!$A$2:$F$3, 6, FALSE)</f>
        <v>kt</v>
      </c>
    </row>
    <row r="28" spans="1:13" ht="20" customHeight="1">
      <c r="A28" s="6" t="s">
        <v>13</v>
      </c>
      <c r="B28" s="6" t="s">
        <v>26</v>
      </c>
      <c r="C28" s="11">
        <v>8080</v>
      </c>
      <c r="D28" s="6" t="str">
        <f>VLOOKUP($C28,'[1]data(통신)'!$A$2:$E$3, 4, FALSE)</f>
        <v>통신료</v>
      </c>
      <c r="E28" s="6" t="str">
        <f>VLOOKUP($C28,'[1]data(통신)'!$A$2:$E$3, 5, FALSE)</f>
        <v>서부노인복지관</v>
      </c>
      <c r="F28" s="12" t="str">
        <f>VLOOKUP($C28,'[1]data(통신)'!$A$2:$E$3, 3, FALSE)</f>
        <v>790046-88-971130</v>
      </c>
      <c r="G28" s="6">
        <f>VLOOKUP($C28,'[1]data(통신)'!$A$2:$E$3, 2, FALSE)</f>
        <v>40001498080</v>
      </c>
      <c r="H28" s="8">
        <v>45962</v>
      </c>
      <c r="I28" s="6" t="s">
        <v>15</v>
      </c>
      <c r="J28" s="8">
        <v>45991</v>
      </c>
      <c r="L28" s="9">
        <v>797080</v>
      </c>
      <c r="M28" s="6" t="str">
        <f>VLOOKUP($C28,'[1]data(통신)'!$A$2:$F$3, 6, FALSE)</f>
        <v>kt</v>
      </c>
    </row>
    <row r="29" spans="1:13" ht="20" customHeight="1">
      <c r="A29" s="6" t="s">
        <v>13</v>
      </c>
      <c r="B29" s="6" t="s">
        <v>14</v>
      </c>
      <c r="C29" s="11" t="s">
        <v>27</v>
      </c>
      <c r="D29" s="6" t="s">
        <v>32</v>
      </c>
      <c r="E29" s="6" t="str">
        <f>VLOOKUP($C29,'[1]data(전기)'!$A$3:$D$46, 3, FALSE)</f>
        <v>서부노인복지관</v>
      </c>
      <c r="F29" s="6" t="str">
        <f>VLOOKUP($C29,'[1]data(전기)'!$A$3:$D$46, 4, FALSE)</f>
        <v>108874-64-308282</v>
      </c>
      <c r="G29" s="6" t="str">
        <f>VLOOKUP($C29,'[1]data(전기)'!$A$3:$D$46, 2, FALSE)</f>
        <v>04 3208 0366</v>
      </c>
      <c r="H29" s="8">
        <v>45631</v>
      </c>
      <c r="I29" s="6" t="s">
        <v>15</v>
      </c>
      <c r="J29" s="8">
        <v>45661</v>
      </c>
      <c r="K29" s="13">
        <v>12554</v>
      </c>
      <c r="L29" s="14">
        <v>2591020</v>
      </c>
      <c r="M29" s="6" t="s">
        <v>32</v>
      </c>
    </row>
    <row r="30" spans="1:13" ht="20" customHeight="1">
      <c r="A30" s="6" t="s">
        <v>13</v>
      </c>
      <c r="B30" s="6" t="s">
        <v>16</v>
      </c>
      <c r="C30" s="11" t="s">
        <v>27</v>
      </c>
      <c r="D30" s="6" t="s">
        <v>32</v>
      </c>
      <c r="E30" s="6" t="str">
        <f>VLOOKUP($C30,'[1]data(전기)'!$A$3:$D$46, 3, FALSE)</f>
        <v>서부노인복지관</v>
      </c>
      <c r="F30" s="6" t="str">
        <f>VLOOKUP($C30,'[1]data(전기)'!$A$3:$D$46, 4, FALSE)</f>
        <v>108874-64-308282</v>
      </c>
      <c r="G30" s="6" t="str">
        <f>VLOOKUP($C30,'[1]data(전기)'!$A$3:$D$46, 2, FALSE)</f>
        <v>04 3208 0366</v>
      </c>
      <c r="H30" s="8">
        <v>45662</v>
      </c>
      <c r="I30" s="6" t="s">
        <v>15</v>
      </c>
      <c r="J30" s="8">
        <v>45692</v>
      </c>
      <c r="K30" s="13">
        <v>12713</v>
      </c>
      <c r="L30" s="14">
        <v>2379990</v>
      </c>
      <c r="M30" s="6" t="s">
        <v>32</v>
      </c>
    </row>
    <row r="31" spans="1:13" ht="20" customHeight="1">
      <c r="A31" s="6" t="s">
        <v>13</v>
      </c>
      <c r="B31" s="6" t="s">
        <v>17</v>
      </c>
      <c r="C31" s="11" t="s">
        <v>27</v>
      </c>
      <c r="D31" s="6" t="s">
        <v>32</v>
      </c>
      <c r="E31" s="6" t="str">
        <f>VLOOKUP($C31,'[1]data(전기)'!$A$3:$D$46, 3, FALSE)</f>
        <v>서부노인복지관</v>
      </c>
      <c r="F31" s="6" t="str">
        <f>VLOOKUP($C31,'[1]data(전기)'!$A$3:$D$46, 4, FALSE)</f>
        <v>108874-64-308282</v>
      </c>
      <c r="G31" s="6" t="str">
        <f>VLOOKUP($C31,'[1]data(전기)'!$A$3:$D$46, 2, FALSE)</f>
        <v>04 3208 0366</v>
      </c>
      <c r="H31" s="8">
        <v>45693</v>
      </c>
      <c r="I31" s="6" t="s">
        <v>15</v>
      </c>
      <c r="J31" s="8">
        <v>45720</v>
      </c>
      <c r="K31" s="13">
        <v>13229</v>
      </c>
      <c r="L31" s="14">
        <v>2426500</v>
      </c>
      <c r="M31" s="6" t="s">
        <v>32</v>
      </c>
    </row>
    <row r="32" spans="1:13" ht="20" customHeight="1">
      <c r="A32" s="6" t="s">
        <v>13</v>
      </c>
      <c r="B32" s="6" t="s">
        <v>18</v>
      </c>
      <c r="C32" s="11" t="s">
        <v>27</v>
      </c>
      <c r="D32" s="6" t="s">
        <v>32</v>
      </c>
      <c r="E32" s="6" t="str">
        <f>VLOOKUP($C32,'[1]data(전기)'!$A$3:$D$46, 3, FALSE)</f>
        <v>서부노인복지관</v>
      </c>
      <c r="F32" s="6" t="str">
        <f>VLOOKUP($C32,'[1]data(전기)'!$A$3:$D$46, 4, FALSE)</f>
        <v>108874-64-308282</v>
      </c>
      <c r="G32" s="6" t="str">
        <f>VLOOKUP($C32,'[1]data(전기)'!$A$3:$D$46, 2, FALSE)</f>
        <v>04 3208 0366</v>
      </c>
      <c r="H32" s="8">
        <v>45721</v>
      </c>
      <c r="I32" s="6" t="s">
        <v>15</v>
      </c>
      <c r="J32" s="8">
        <v>45751</v>
      </c>
      <c r="K32" s="13">
        <v>10157</v>
      </c>
      <c r="L32" s="14">
        <v>1737430</v>
      </c>
      <c r="M32" s="6" t="s">
        <v>32</v>
      </c>
    </row>
    <row r="33" spans="1:13" ht="20" customHeight="1">
      <c r="A33" s="6" t="s">
        <v>13</v>
      </c>
      <c r="B33" s="6" t="s">
        <v>19</v>
      </c>
      <c r="C33" s="11" t="s">
        <v>27</v>
      </c>
      <c r="D33" s="6" t="s">
        <v>32</v>
      </c>
      <c r="E33" s="6" t="str">
        <f>VLOOKUP($C33,'[1]data(전기)'!$A$3:$D$46, 3, FALSE)</f>
        <v>서부노인복지관</v>
      </c>
      <c r="F33" s="6" t="str">
        <f>VLOOKUP($C33,'[1]data(전기)'!$A$3:$D$46, 4, FALSE)</f>
        <v>108874-64-308282</v>
      </c>
      <c r="G33" s="6" t="str">
        <f>VLOOKUP($C33,'[1]data(전기)'!$A$3:$D$46, 2, FALSE)</f>
        <v>04 3208 0366</v>
      </c>
      <c r="H33" s="8">
        <v>45752</v>
      </c>
      <c r="I33" s="6" t="s">
        <v>15</v>
      </c>
      <c r="J33" s="8">
        <v>45781</v>
      </c>
      <c r="K33" s="13">
        <v>3849</v>
      </c>
      <c r="L33" s="14">
        <v>1101320</v>
      </c>
      <c r="M33" s="6" t="s">
        <v>32</v>
      </c>
    </row>
    <row r="34" spans="1:13" ht="20" customHeight="1">
      <c r="A34" s="6" t="s">
        <v>13</v>
      </c>
      <c r="B34" s="6" t="s">
        <v>20</v>
      </c>
      <c r="C34" s="11" t="s">
        <v>27</v>
      </c>
      <c r="D34" s="6" t="s">
        <v>32</v>
      </c>
      <c r="E34" s="6" t="str">
        <f>VLOOKUP($C34,'[1]data(전기)'!$A$3:$D$46, 3, FALSE)</f>
        <v>서부노인복지관</v>
      </c>
      <c r="F34" s="6" t="str">
        <f>VLOOKUP($C34,'[1]data(전기)'!$A$3:$D$46, 4, FALSE)</f>
        <v>108874-64-308282</v>
      </c>
      <c r="G34" s="6" t="str">
        <f>VLOOKUP($C34,'[1]data(전기)'!$A$3:$D$46, 2, FALSE)</f>
        <v>04 3208 0366</v>
      </c>
      <c r="H34" s="8">
        <v>45782</v>
      </c>
      <c r="I34" s="6" t="s">
        <v>15</v>
      </c>
      <c r="J34" s="8">
        <v>45812</v>
      </c>
      <c r="K34" s="13">
        <v>3681</v>
      </c>
      <c r="L34" s="14">
        <v>1075470</v>
      </c>
      <c r="M34" s="6" t="s">
        <v>32</v>
      </c>
    </row>
    <row r="35" spans="1:13" ht="20" customHeight="1">
      <c r="A35" s="6" t="s">
        <v>13</v>
      </c>
      <c r="B35" s="6" t="s">
        <v>21</v>
      </c>
      <c r="C35" s="11" t="s">
        <v>27</v>
      </c>
      <c r="D35" s="6" t="s">
        <v>32</v>
      </c>
      <c r="E35" s="6" t="str">
        <f>VLOOKUP($C35,'[1]data(전기)'!$A$3:$D$46, 3, FALSE)</f>
        <v>서부노인복지관</v>
      </c>
      <c r="F35" s="6" t="str">
        <f>VLOOKUP($C35,'[1]data(전기)'!$A$3:$D$46, 4, FALSE)</f>
        <v>108874-64-308282</v>
      </c>
      <c r="G35" s="6" t="str">
        <f>VLOOKUP($C35,'[1]data(전기)'!$A$3:$D$46, 2, FALSE)</f>
        <v>04 3208 0366</v>
      </c>
      <c r="H35" s="8">
        <v>45813</v>
      </c>
      <c r="I35" s="6" t="s">
        <v>15</v>
      </c>
      <c r="J35" s="8">
        <v>45842</v>
      </c>
      <c r="K35" s="13">
        <v>9633</v>
      </c>
      <c r="L35" s="14">
        <v>2140640</v>
      </c>
      <c r="M35" s="6" t="s">
        <v>32</v>
      </c>
    </row>
    <row r="36" spans="1:13" ht="20" customHeight="1">
      <c r="A36" s="6" t="s">
        <v>13</v>
      </c>
      <c r="B36" s="6" t="s">
        <v>22</v>
      </c>
      <c r="C36" s="11" t="s">
        <v>27</v>
      </c>
      <c r="D36" s="6" t="s">
        <v>32</v>
      </c>
      <c r="E36" s="6" t="str">
        <f>VLOOKUP($C36,'[1]data(전기)'!$A$3:$D$46, 3, FALSE)</f>
        <v>서부노인복지관</v>
      </c>
      <c r="F36" s="6" t="str">
        <f>VLOOKUP($C36,'[1]data(전기)'!$A$3:$D$46, 4, FALSE)</f>
        <v>108874-64-308282</v>
      </c>
      <c r="G36" s="6" t="str">
        <f>VLOOKUP($C36,'[1]data(전기)'!$A$3:$D$46, 2, FALSE)</f>
        <v>04 3208 0366</v>
      </c>
      <c r="H36" s="8">
        <v>45843</v>
      </c>
      <c r="I36" s="6" t="s">
        <v>15</v>
      </c>
      <c r="J36" s="8">
        <v>45873</v>
      </c>
      <c r="K36" s="13">
        <v>14510</v>
      </c>
      <c r="L36" s="14">
        <v>2880630</v>
      </c>
      <c r="M36" s="6" t="s">
        <v>32</v>
      </c>
    </row>
    <row r="37" spans="1:13" ht="20" customHeight="1">
      <c r="A37" s="6" t="s">
        <v>13</v>
      </c>
      <c r="B37" s="6" t="s">
        <v>28</v>
      </c>
      <c r="C37" s="11" t="s">
        <v>27</v>
      </c>
      <c r="D37" s="6" t="s">
        <v>32</v>
      </c>
      <c r="E37" s="6" t="str">
        <f>VLOOKUP($C37,'[1]data(전기)'!$A$3:$D$46, 3, FALSE)</f>
        <v>서부노인복지관</v>
      </c>
      <c r="F37" s="6" t="str">
        <f>VLOOKUP($C37,'[1]data(전기)'!$A$3:$D$46, 4, FALSE)</f>
        <v>108874-64-308282</v>
      </c>
      <c r="G37" s="6" t="str">
        <f>VLOOKUP($C37,'[1]data(전기)'!$A$3:$D$46, 2, FALSE)</f>
        <v>04 3208 0366</v>
      </c>
      <c r="H37" s="8">
        <v>45874</v>
      </c>
      <c r="I37" s="6" t="s">
        <v>15</v>
      </c>
      <c r="J37" s="8">
        <v>45904</v>
      </c>
      <c r="K37" s="13">
        <v>18272</v>
      </c>
      <c r="L37" s="14">
        <v>3322930</v>
      </c>
      <c r="M37" s="6" t="s">
        <v>32</v>
      </c>
    </row>
    <row r="38" spans="1:13" ht="20" customHeight="1">
      <c r="A38" s="6" t="s">
        <v>29</v>
      </c>
      <c r="B38" s="6" t="s">
        <v>24</v>
      </c>
      <c r="C38" s="11" t="s">
        <v>27</v>
      </c>
      <c r="D38" s="6" t="s">
        <v>32</v>
      </c>
      <c r="E38" s="6" t="str">
        <f>VLOOKUP($C38,'[1]data(전기)'!$A$3:$D$46, 3, FALSE)</f>
        <v>서부노인복지관</v>
      </c>
      <c r="F38" s="6" t="str">
        <f>VLOOKUP($C38,'[1]data(전기)'!$A$3:$D$46, 4, FALSE)</f>
        <v>108874-64-308282</v>
      </c>
      <c r="G38" s="6" t="str">
        <f>VLOOKUP($C38,'[1]data(전기)'!$A$3:$D$46, 2, FALSE)</f>
        <v>04 3208 0366</v>
      </c>
      <c r="H38" s="8">
        <v>45905</v>
      </c>
      <c r="I38" s="6" t="s">
        <v>15</v>
      </c>
      <c r="J38" s="8">
        <v>45934</v>
      </c>
      <c r="K38" s="13">
        <v>13737</v>
      </c>
      <c r="L38" s="14">
        <v>2287810</v>
      </c>
      <c r="M38" s="6" t="s">
        <v>32</v>
      </c>
    </row>
    <row r="39" spans="1:13" ht="20" customHeight="1">
      <c r="A39" s="6" t="s">
        <v>13</v>
      </c>
      <c r="B39" s="6" t="s">
        <v>25</v>
      </c>
      <c r="C39" s="11" t="s">
        <v>27</v>
      </c>
      <c r="D39" s="6" t="s">
        <v>32</v>
      </c>
      <c r="E39" s="6" t="str">
        <f>VLOOKUP($C39,'[1]data(전기)'!$A$3:$D$46, 3, FALSE)</f>
        <v>서부노인복지관</v>
      </c>
      <c r="F39" s="6" t="str">
        <f>VLOOKUP($C39,'[1]data(전기)'!$A$3:$D$46, 4, FALSE)</f>
        <v>108874-64-308282</v>
      </c>
      <c r="G39" s="6" t="str">
        <f>VLOOKUP($C39,'[1]data(전기)'!$A$3:$D$46, 2, FALSE)</f>
        <v>04 3208 0366</v>
      </c>
      <c r="H39" s="8">
        <v>45935</v>
      </c>
      <c r="I39" s="6" t="s">
        <v>15</v>
      </c>
      <c r="J39" s="8">
        <v>45965</v>
      </c>
      <c r="K39" s="13">
        <v>10025</v>
      </c>
      <c r="L39" s="14">
        <v>1920350</v>
      </c>
      <c r="M39" s="6" t="s">
        <v>32</v>
      </c>
    </row>
    <row r="40" spans="1:13" ht="20" customHeight="1">
      <c r="A40" s="6" t="s">
        <v>13</v>
      </c>
      <c r="B40" s="6" t="s">
        <v>26</v>
      </c>
      <c r="C40" s="11" t="s">
        <v>27</v>
      </c>
      <c r="D40" s="6" t="s">
        <v>32</v>
      </c>
      <c r="E40" s="6" t="str">
        <f>VLOOKUP($C40,'[1]data(전기)'!$A$3:$D$46, 3, FALSE)</f>
        <v>서부노인복지관</v>
      </c>
      <c r="F40" s="6" t="str">
        <f>VLOOKUP($C40,'[1]data(전기)'!$A$3:$D$46, 4, FALSE)</f>
        <v>108874-64-308282</v>
      </c>
      <c r="G40" s="6" t="str">
        <f>VLOOKUP($C40,'[1]data(전기)'!$A$3:$D$46, 2, FALSE)</f>
        <v>04 3208 0366</v>
      </c>
      <c r="H40" s="8">
        <v>45966</v>
      </c>
      <c r="I40" s="6" t="s">
        <v>15</v>
      </c>
      <c r="J40" s="8">
        <v>45995</v>
      </c>
      <c r="K40" s="13">
        <v>13013</v>
      </c>
      <c r="L40" s="14">
        <v>2610330</v>
      </c>
      <c r="M40" s="6" t="s">
        <v>32</v>
      </c>
    </row>
    <row r="41" spans="1:13" ht="20" customHeight="1">
      <c r="A41" s="6" t="s">
        <v>13</v>
      </c>
      <c r="B41" s="6" t="s">
        <v>14</v>
      </c>
      <c r="C41" s="11" t="s">
        <v>30</v>
      </c>
      <c r="D41" s="15" t="str">
        <f>VLOOKUP($C41,'[1]data(상하수도)'!$A$3:$E$18,5,FALSE)</f>
        <v>상하수도</v>
      </c>
      <c r="E41" s="6" t="str">
        <f>VLOOKUP($C41,'[1]data(상하수도)'!$A$3:$D$18,3,FALSE)</f>
        <v>서부노인복지관</v>
      </c>
      <c r="F41" s="15">
        <f>VLOOKUP($C41,'[1]data(상하수도)'!$A$3:$D$18,4,FALSE)</f>
        <v>12400064902252</v>
      </c>
      <c r="G41" s="15">
        <f>VLOOKUP($C41,'[1]data(상하수도)'!$A$3:$D$18,2,FALSE)</f>
        <v>2008600011</v>
      </c>
      <c r="H41" s="8">
        <v>45608</v>
      </c>
      <c r="I41" s="6" t="s">
        <v>15</v>
      </c>
      <c r="J41" s="8">
        <v>45637</v>
      </c>
      <c r="K41" s="13">
        <v>295</v>
      </c>
      <c r="L41" s="9">
        <v>548430</v>
      </c>
      <c r="M41" s="15" t="str">
        <f>VLOOKUP($C41,'[1]data(상하수도)'!$A$3:$E$18,5,FALSE)</f>
        <v>상하수도</v>
      </c>
    </row>
    <row r="42" spans="1:13" ht="20" customHeight="1">
      <c r="A42" s="6" t="s">
        <v>13</v>
      </c>
      <c r="B42" s="6" t="s">
        <v>16</v>
      </c>
      <c r="C42" s="11" t="s">
        <v>30</v>
      </c>
      <c r="D42" s="15" t="str">
        <f>VLOOKUP($C42,'[1]data(상하수도)'!$A$3:$E$18,5,FALSE)</f>
        <v>상하수도</v>
      </c>
      <c r="E42" s="6" t="str">
        <f>VLOOKUP($C42,'[1]data(상하수도)'!$A$3:$D$18,3,FALSE)</f>
        <v>서부노인복지관</v>
      </c>
      <c r="F42" s="15">
        <f>VLOOKUP($C42,'[1]data(상하수도)'!$A$3:$D$18,4,FALSE)</f>
        <v>12400064902252</v>
      </c>
      <c r="G42" s="15">
        <f>VLOOKUP($C42,'[1]data(상하수도)'!$A$3:$D$18,2,FALSE)</f>
        <v>2008600011</v>
      </c>
      <c r="H42" s="8">
        <v>45638</v>
      </c>
      <c r="I42" s="6" t="s">
        <v>15</v>
      </c>
      <c r="J42" s="8">
        <v>45668</v>
      </c>
      <c r="K42" s="13">
        <v>271</v>
      </c>
      <c r="L42" s="9">
        <v>504840</v>
      </c>
      <c r="M42" s="15" t="str">
        <f>VLOOKUP($C42,'[1]data(상하수도)'!$A$3:$E$18,5,FALSE)</f>
        <v>상하수도</v>
      </c>
    </row>
    <row r="43" spans="1:13" ht="20" customHeight="1">
      <c r="A43" s="6" t="s">
        <v>13</v>
      </c>
      <c r="B43" s="6" t="s">
        <v>17</v>
      </c>
      <c r="C43" s="11" t="s">
        <v>30</v>
      </c>
      <c r="D43" s="15" t="str">
        <f>VLOOKUP($C43,'[1]data(상하수도)'!$A$3:$E$18,5,FALSE)</f>
        <v>상하수도</v>
      </c>
      <c r="E43" s="6" t="str">
        <f>VLOOKUP($C43,'[1]data(상하수도)'!$A$3:$D$18,3,FALSE)</f>
        <v>서부노인복지관</v>
      </c>
      <c r="F43" s="15">
        <f>VLOOKUP($C43,'[1]data(상하수도)'!$A$3:$D$18,4,FALSE)</f>
        <v>12400064902252</v>
      </c>
      <c r="G43" s="15">
        <f>VLOOKUP($C43,'[1]data(상하수도)'!$A$3:$D$18,2,FALSE)</f>
        <v>2008600011</v>
      </c>
      <c r="H43" s="8">
        <v>45669</v>
      </c>
      <c r="I43" s="6" t="s">
        <v>15</v>
      </c>
      <c r="J43" s="8">
        <v>45699</v>
      </c>
      <c r="K43" s="13">
        <v>240</v>
      </c>
      <c r="L43" s="9">
        <v>440830</v>
      </c>
      <c r="M43" s="15" t="str">
        <f>VLOOKUP($C43,'[1]data(상하수도)'!$A$3:$E$18,5,FALSE)</f>
        <v>상하수도</v>
      </c>
    </row>
    <row r="44" spans="1:13" ht="20" customHeight="1">
      <c r="A44" s="6" t="s">
        <v>29</v>
      </c>
      <c r="B44" s="6" t="s">
        <v>18</v>
      </c>
      <c r="C44" s="11" t="s">
        <v>30</v>
      </c>
      <c r="D44" s="15" t="str">
        <f>VLOOKUP($C44,'[1]data(상하수도)'!$A$3:$E$18,5,FALSE)</f>
        <v>상하수도</v>
      </c>
      <c r="E44" s="6" t="str">
        <f>VLOOKUP($C44,'[1]data(상하수도)'!$A$3:$D$18,3,FALSE)</f>
        <v>서부노인복지관</v>
      </c>
      <c r="F44" s="15">
        <f>VLOOKUP($C44,'[1]data(상하수도)'!$A$3:$D$18,4,FALSE)</f>
        <v>12400064902252</v>
      </c>
      <c r="G44" s="15">
        <f>VLOOKUP($C44,'[1]data(상하수도)'!$A$3:$D$18,2,FALSE)</f>
        <v>2008600011</v>
      </c>
      <c r="H44" s="8">
        <v>45700</v>
      </c>
      <c r="I44" s="6" t="s">
        <v>15</v>
      </c>
      <c r="J44" s="8">
        <v>45727</v>
      </c>
      <c r="K44" s="13">
        <v>276</v>
      </c>
      <c r="L44" s="9">
        <v>505060</v>
      </c>
      <c r="M44" s="15" t="str">
        <f>VLOOKUP($C44,'[1]data(상하수도)'!$A$3:$E$18,5,FALSE)</f>
        <v>상하수도</v>
      </c>
    </row>
    <row r="45" spans="1:13" ht="20" customHeight="1">
      <c r="A45" s="6" t="s">
        <v>29</v>
      </c>
      <c r="B45" s="6" t="s">
        <v>19</v>
      </c>
      <c r="C45" s="11" t="s">
        <v>30</v>
      </c>
      <c r="D45" s="15" t="str">
        <f>VLOOKUP($C45,'[1]data(상하수도)'!$A$3:$E$18,5,FALSE)</f>
        <v>상하수도</v>
      </c>
      <c r="E45" s="6" t="str">
        <f>VLOOKUP($C45,'[1]data(상하수도)'!$A$3:$D$18,3,FALSE)</f>
        <v>서부노인복지관</v>
      </c>
      <c r="F45" s="15">
        <f>VLOOKUP($C45,'[1]data(상하수도)'!$A$3:$D$18,4,FALSE)</f>
        <v>12400064902252</v>
      </c>
      <c r="G45" s="15">
        <f>VLOOKUP($C45,'[1]data(상하수도)'!$A$3:$D$18,2,FALSE)</f>
        <v>2008600011</v>
      </c>
      <c r="H45" s="8">
        <v>45728</v>
      </c>
      <c r="I45" s="6" t="s">
        <v>15</v>
      </c>
      <c r="J45" s="8">
        <v>45758</v>
      </c>
      <c r="K45" s="13">
        <v>302</v>
      </c>
      <c r="L45" s="9">
        <v>551450</v>
      </c>
      <c r="M45" s="15" t="str">
        <f>VLOOKUP($C45,'[1]data(상하수도)'!$A$3:$E$18,5,FALSE)</f>
        <v>상하수도</v>
      </c>
    </row>
    <row r="46" spans="1:13" ht="20" customHeight="1">
      <c r="A46" s="6" t="s">
        <v>13</v>
      </c>
      <c r="B46" s="6" t="s">
        <v>20</v>
      </c>
      <c r="C46" s="11" t="s">
        <v>30</v>
      </c>
      <c r="D46" s="15" t="str">
        <f>VLOOKUP($C46,'[1]data(상하수도)'!$A$3:$E$18,5,FALSE)</f>
        <v>상하수도</v>
      </c>
      <c r="E46" s="6" t="str">
        <f>VLOOKUP($C46,'[1]data(상하수도)'!$A$3:$D$18,3,FALSE)</f>
        <v>서부노인복지관</v>
      </c>
      <c r="F46" s="15">
        <f>VLOOKUP($C46,'[1]data(상하수도)'!$A$3:$D$18,4,FALSE)</f>
        <v>12400064902252</v>
      </c>
      <c r="G46" s="15">
        <f>VLOOKUP($C46,'[1]data(상하수도)'!$A$3:$D$18,2,FALSE)</f>
        <v>2008600011</v>
      </c>
      <c r="H46" s="8">
        <v>45759</v>
      </c>
      <c r="I46" s="6" t="s">
        <v>15</v>
      </c>
      <c r="J46" s="8">
        <v>45788</v>
      </c>
      <c r="K46" s="13">
        <v>276</v>
      </c>
      <c r="L46" s="9">
        <v>505060</v>
      </c>
      <c r="M46" s="15" t="str">
        <f>VLOOKUP($C46,'[1]data(상하수도)'!$A$3:$E$18,5,FALSE)</f>
        <v>상하수도</v>
      </c>
    </row>
    <row r="47" spans="1:13" ht="20" customHeight="1">
      <c r="A47" s="6" t="s">
        <v>13</v>
      </c>
      <c r="B47" s="6" t="s">
        <v>21</v>
      </c>
      <c r="C47" s="11" t="s">
        <v>30</v>
      </c>
      <c r="D47" s="15" t="str">
        <f>VLOOKUP($C47,'[1]data(상하수도)'!$A$3:$E$18,5,FALSE)</f>
        <v>상하수도</v>
      </c>
      <c r="E47" s="6" t="str">
        <f>VLOOKUP($C47,'[1]data(상하수도)'!$A$3:$D$18,3,FALSE)</f>
        <v>서부노인복지관</v>
      </c>
      <c r="F47" s="15">
        <f>VLOOKUP($C47,'[1]data(상하수도)'!$A$3:$D$18,4,FALSE)</f>
        <v>12400064902252</v>
      </c>
      <c r="G47" s="15">
        <f>VLOOKUP($C47,'[1]data(상하수도)'!$A$3:$D$18,2,FALSE)</f>
        <v>2008600011</v>
      </c>
      <c r="H47" s="8">
        <v>45789</v>
      </c>
      <c r="I47" s="6" t="s">
        <v>15</v>
      </c>
      <c r="J47" s="8">
        <v>45819</v>
      </c>
      <c r="K47" s="13">
        <v>275</v>
      </c>
      <c r="L47" s="9">
        <v>530780</v>
      </c>
      <c r="M47" s="15" t="str">
        <f>VLOOKUP($C47,'[1]data(상하수도)'!$A$3:$E$18,5,FALSE)</f>
        <v>상하수도</v>
      </c>
    </row>
    <row r="48" spans="1:13" ht="20" customHeight="1">
      <c r="A48" s="6" t="s">
        <v>13</v>
      </c>
      <c r="B48" s="6" t="s">
        <v>22</v>
      </c>
      <c r="C48" s="11" t="s">
        <v>30</v>
      </c>
      <c r="D48" s="15" t="str">
        <f>VLOOKUP($C48,'[1]data(상하수도)'!$A$3:$E$18,5,FALSE)</f>
        <v>상하수도</v>
      </c>
      <c r="E48" s="6" t="str">
        <f>VLOOKUP($C48,'[1]data(상하수도)'!$A$3:$D$18,3,FALSE)</f>
        <v>서부노인복지관</v>
      </c>
      <c r="F48" s="15">
        <f>VLOOKUP($C48,'[1]data(상하수도)'!$A$3:$D$18,4,FALSE)</f>
        <v>12400064902252</v>
      </c>
      <c r="G48" s="15">
        <f>VLOOKUP($C48,'[1]data(상하수도)'!$A$3:$D$18,2,FALSE)</f>
        <v>2008600011</v>
      </c>
      <c r="H48" s="8">
        <v>45820</v>
      </c>
      <c r="I48" s="6" t="s">
        <v>15</v>
      </c>
      <c r="J48" s="8">
        <v>45849</v>
      </c>
      <c r="K48" s="13">
        <v>282</v>
      </c>
      <c r="L48" s="9">
        <v>543970</v>
      </c>
      <c r="M48" s="15" t="str">
        <f>VLOOKUP($C48,'[1]data(상하수도)'!$A$3:$E$18,5,FALSE)</f>
        <v>상하수도</v>
      </c>
    </row>
    <row r="49" spans="1:13" ht="20" customHeight="1">
      <c r="A49" s="6" t="s">
        <v>13</v>
      </c>
      <c r="B49" s="6" t="s">
        <v>23</v>
      </c>
      <c r="C49" s="11" t="s">
        <v>30</v>
      </c>
      <c r="D49" s="15" t="str">
        <f>VLOOKUP($C49,'[1]data(상하수도)'!$A$3:$E$18,5,FALSE)</f>
        <v>상하수도</v>
      </c>
      <c r="E49" s="6" t="str">
        <f>VLOOKUP($C49,'[1]data(상하수도)'!$A$3:$D$18,3,FALSE)</f>
        <v>서부노인복지관</v>
      </c>
      <c r="F49" s="15">
        <f>VLOOKUP($C49,'[1]data(상하수도)'!$A$3:$D$18,4,FALSE)</f>
        <v>12400064902252</v>
      </c>
      <c r="G49" s="15">
        <f>VLOOKUP($C49,'[1]data(상하수도)'!$A$3:$D$18,2,FALSE)</f>
        <v>2008600011</v>
      </c>
      <c r="H49" s="8">
        <v>45850</v>
      </c>
      <c r="I49" s="6" t="s">
        <v>15</v>
      </c>
      <c r="J49" s="8">
        <v>45880</v>
      </c>
      <c r="K49" s="13">
        <v>245</v>
      </c>
      <c r="L49" s="9">
        <v>474250</v>
      </c>
      <c r="M49" s="15" t="str">
        <f>VLOOKUP($C49,'[1]data(상하수도)'!$A$3:$E$18,5,FALSE)</f>
        <v>상하수도</v>
      </c>
    </row>
    <row r="50" spans="1:13" ht="20" customHeight="1">
      <c r="A50" s="6" t="s">
        <v>13</v>
      </c>
      <c r="B50" s="6" t="s">
        <v>24</v>
      </c>
      <c r="C50" s="11" t="s">
        <v>30</v>
      </c>
      <c r="D50" s="15" t="str">
        <f>VLOOKUP($C50,'[1]data(상하수도)'!$A$3:$E$18,5,FALSE)</f>
        <v>상하수도</v>
      </c>
      <c r="E50" s="6" t="str">
        <f>VLOOKUP($C50,'[1]data(상하수도)'!$A$3:$D$18,3,FALSE)</f>
        <v>서부노인복지관</v>
      </c>
      <c r="F50" s="15">
        <f>VLOOKUP($C50,'[1]data(상하수도)'!$A$3:$D$18,4,FALSE)</f>
        <v>12400064902252</v>
      </c>
      <c r="G50" s="15">
        <f>VLOOKUP($C50,'[1]data(상하수도)'!$A$3:$D$18,2,FALSE)</f>
        <v>2008600011</v>
      </c>
      <c r="H50" s="8">
        <v>45881</v>
      </c>
      <c r="I50" s="6" t="s">
        <v>15</v>
      </c>
      <c r="J50" s="8">
        <v>45911</v>
      </c>
      <c r="K50" s="13">
        <v>274</v>
      </c>
      <c r="L50" s="9">
        <v>528890</v>
      </c>
      <c r="M50" s="15" t="str">
        <f>VLOOKUP($C50,'[1]data(상하수도)'!$A$3:$E$18,5,FALSE)</f>
        <v>상하수도</v>
      </c>
    </row>
    <row r="51" spans="1:13" ht="20" customHeight="1">
      <c r="A51" s="6" t="s">
        <v>13</v>
      </c>
      <c r="B51" s="6" t="s">
        <v>25</v>
      </c>
      <c r="C51" s="11" t="s">
        <v>30</v>
      </c>
      <c r="D51" s="15" t="str">
        <f>VLOOKUP($C51,'[1]data(상하수도)'!$A$3:$E$18,5,FALSE)</f>
        <v>상하수도</v>
      </c>
      <c r="E51" s="6" t="str">
        <f>VLOOKUP($C51,'[1]data(상하수도)'!$A$3:$D$18,3,FALSE)</f>
        <v>서부노인복지관</v>
      </c>
      <c r="F51" s="15">
        <f>VLOOKUP($C51,'[1]data(상하수도)'!$A$3:$D$18,4,FALSE)</f>
        <v>12400064902252</v>
      </c>
      <c r="G51" s="15">
        <f>VLOOKUP($C51,'[1]data(상하수도)'!$A$3:$D$18,2,FALSE)</f>
        <v>2008600011</v>
      </c>
      <c r="H51" s="8">
        <v>45912</v>
      </c>
      <c r="I51" s="6" t="s">
        <v>15</v>
      </c>
      <c r="J51" s="8">
        <v>45941</v>
      </c>
      <c r="K51" s="13">
        <v>243</v>
      </c>
      <c r="L51" s="9">
        <v>470480</v>
      </c>
      <c r="M51" s="15" t="str">
        <f>VLOOKUP($C51,'[1]data(상하수도)'!$A$3:$E$18,5,FALSE)</f>
        <v>상하수도</v>
      </c>
    </row>
    <row r="52" spans="1:13" ht="20" customHeight="1">
      <c r="A52" s="6" t="s">
        <v>13</v>
      </c>
      <c r="B52" s="6" t="s">
        <v>26</v>
      </c>
      <c r="C52" s="11" t="s">
        <v>30</v>
      </c>
      <c r="D52" s="15" t="str">
        <f>VLOOKUP($C52,'[1]data(상하수도)'!$A$3:$E$18,5,FALSE)</f>
        <v>상하수도</v>
      </c>
      <c r="E52" s="6" t="str">
        <f>VLOOKUP($C52,'[1]data(상하수도)'!$A$3:$D$18,3,FALSE)</f>
        <v>서부노인복지관</v>
      </c>
      <c r="F52" s="15">
        <f>VLOOKUP($C52,'[1]data(상하수도)'!$A$3:$D$18,4,FALSE)</f>
        <v>12400064902252</v>
      </c>
      <c r="G52" s="15">
        <f>VLOOKUP($C52,'[1]data(상하수도)'!$A$3:$D$18,2,FALSE)</f>
        <v>2008600011</v>
      </c>
      <c r="H52" s="8">
        <v>45942</v>
      </c>
      <c r="I52" s="6" t="s">
        <v>15</v>
      </c>
      <c r="J52" s="8">
        <v>45971</v>
      </c>
      <c r="K52" s="13">
        <v>302</v>
      </c>
      <c r="L52" s="9">
        <v>581650</v>
      </c>
      <c r="M52" s="15" t="str">
        <f>VLOOKUP($C52,'[1]data(상하수도)'!$A$3:$E$18,5,FALSE)</f>
        <v>상하수도</v>
      </c>
    </row>
    <row r="53" spans="1:13" ht="20" customHeight="1">
      <c r="A53" s="6" t="s">
        <v>13</v>
      </c>
      <c r="B53" s="6" t="s">
        <v>14</v>
      </c>
      <c r="C53" s="11">
        <v>1110</v>
      </c>
      <c r="D53" s="6" t="str">
        <f>VLOOKUP($C53,'[1]data(도시가스)'!$A$2:$E$13, 4, FALSE)</f>
        <v>도시가스</v>
      </c>
      <c r="E53" s="6" t="str">
        <f>VLOOKUP($C53,'[1]data(도시가스)'!$A$2:$E$13, 5, FALSE)</f>
        <v>서부노인복지관</v>
      </c>
      <c r="F53" s="12" t="str">
        <f>VLOOKUP($C53,'[1]data(도시가스)'!$A$2:$E$13, 3, FALSE)</f>
        <v>790012-14-657928</v>
      </c>
      <c r="G53" s="6" t="str">
        <f>VLOOKUP($C53,'[1]data(도시가스)'!$A$2:$E$13, 2, FALSE)</f>
        <v>000062101110</v>
      </c>
      <c r="H53" s="8">
        <v>45627</v>
      </c>
      <c r="I53" s="6" t="s">
        <v>15</v>
      </c>
      <c r="J53" s="8">
        <v>45657</v>
      </c>
      <c r="K53" s="13">
        <v>896</v>
      </c>
      <c r="L53" s="9">
        <v>861680</v>
      </c>
      <c r="M53" s="6" t="s">
        <v>31</v>
      </c>
    </row>
    <row r="54" spans="1:13" ht="20" customHeight="1">
      <c r="A54" s="6" t="s">
        <v>13</v>
      </c>
      <c r="B54" s="6" t="s">
        <v>16</v>
      </c>
      <c r="C54" s="6">
        <v>1110</v>
      </c>
      <c r="D54" s="6" t="str">
        <f>VLOOKUP($C54,'[1]data(도시가스)'!$A$2:$E$13, 4, FALSE)</f>
        <v>도시가스</v>
      </c>
      <c r="E54" s="6" t="str">
        <f>VLOOKUP($C54,'[1]data(도시가스)'!$A$2:$E$13, 5, FALSE)</f>
        <v>서부노인복지관</v>
      </c>
      <c r="F54" s="12" t="str">
        <f>VLOOKUP($C54,'[1]data(도시가스)'!$A$2:$E$13, 3, FALSE)</f>
        <v>790012-14-657928</v>
      </c>
      <c r="G54" s="6" t="str">
        <f>VLOOKUP($C54,'[1]data(도시가스)'!$A$2:$E$13, 2, FALSE)</f>
        <v>000062101110</v>
      </c>
      <c r="H54" s="8">
        <v>45658</v>
      </c>
      <c r="I54" s="6" t="s">
        <v>15</v>
      </c>
      <c r="J54" s="8">
        <v>45688</v>
      </c>
      <c r="K54" s="13">
        <v>761</v>
      </c>
      <c r="L54" s="9">
        <v>735060</v>
      </c>
      <c r="M54" s="6" t="s">
        <v>31</v>
      </c>
    </row>
    <row r="55" spans="1:13" ht="20" customHeight="1">
      <c r="A55" s="6" t="s">
        <v>13</v>
      </c>
      <c r="B55" s="6" t="s">
        <v>17</v>
      </c>
      <c r="C55" s="6">
        <v>1110</v>
      </c>
      <c r="D55" s="6" t="str">
        <f>VLOOKUP($C55,'[1]data(도시가스)'!$A$2:$E$13, 4, FALSE)</f>
        <v>도시가스</v>
      </c>
      <c r="E55" s="6" t="str">
        <f>VLOOKUP($C55,'[1]data(도시가스)'!$A$2:$E$13, 5, FALSE)</f>
        <v>서부노인복지관</v>
      </c>
      <c r="F55" s="12" t="str">
        <f>VLOOKUP($C55,'[1]data(도시가스)'!$A$2:$E$13, 3, FALSE)</f>
        <v>790012-14-657928</v>
      </c>
      <c r="G55" s="6" t="str">
        <f>VLOOKUP($C55,'[1]data(도시가스)'!$A$2:$E$13, 2, FALSE)</f>
        <v>000062101110</v>
      </c>
      <c r="H55" s="8">
        <v>45689</v>
      </c>
      <c r="I55" s="6" t="s">
        <v>15</v>
      </c>
      <c r="J55" s="8">
        <v>45716</v>
      </c>
      <c r="K55" s="13">
        <v>938</v>
      </c>
      <c r="L55" s="9">
        <v>904640</v>
      </c>
      <c r="M55" s="6" t="s">
        <v>31</v>
      </c>
    </row>
    <row r="56" spans="1:13" ht="20" customHeight="1">
      <c r="A56" s="6" t="s">
        <v>13</v>
      </c>
      <c r="B56" s="6" t="s">
        <v>18</v>
      </c>
      <c r="C56" s="6">
        <v>1110</v>
      </c>
      <c r="D56" s="6" t="str">
        <f>VLOOKUP($C56,'[1]data(도시가스)'!$A$2:$E$13, 4, FALSE)</f>
        <v>도시가스</v>
      </c>
      <c r="E56" s="6" t="str">
        <f>VLOOKUP($C56,'[1]data(도시가스)'!$A$2:$E$13, 5, FALSE)</f>
        <v>서부노인복지관</v>
      </c>
      <c r="F56" s="12" t="str">
        <f>VLOOKUP($C56,'[1]data(도시가스)'!$A$2:$E$13, 3, FALSE)</f>
        <v>790012-14-657928</v>
      </c>
      <c r="G56" s="6" t="str">
        <f>VLOOKUP($C56,'[1]data(도시가스)'!$A$2:$E$13, 2, FALSE)</f>
        <v>000062101110</v>
      </c>
      <c r="H56" s="8">
        <v>45717</v>
      </c>
      <c r="I56" s="6" t="s">
        <v>15</v>
      </c>
      <c r="J56" s="8">
        <v>45747</v>
      </c>
      <c r="K56" s="13">
        <v>875</v>
      </c>
      <c r="L56" s="9">
        <v>838420</v>
      </c>
      <c r="M56" s="6" t="s">
        <v>31</v>
      </c>
    </row>
    <row r="57" spans="1:13" ht="20" customHeight="1">
      <c r="A57" s="6" t="s">
        <v>13</v>
      </c>
      <c r="B57" s="6" t="s">
        <v>19</v>
      </c>
      <c r="C57" s="6">
        <v>1110</v>
      </c>
      <c r="D57" s="6" t="str">
        <f>VLOOKUP($C57,'[1]data(도시가스)'!$A$2:$E$13, 4, FALSE)</f>
        <v>도시가스</v>
      </c>
      <c r="E57" s="6" t="str">
        <f>VLOOKUP($C57,'[1]data(도시가스)'!$A$2:$E$13, 5, FALSE)</f>
        <v>서부노인복지관</v>
      </c>
      <c r="F57" s="12" t="str">
        <f>VLOOKUP($C57,'[1]data(도시가스)'!$A$2:$E$13, 3, FALSE)</f>
        <v>790012-14-657928</v>
      </c>
      <c r="G57" s="6" t="str">
        <f>VLOOKUP($C57,'[1]data(도시가스)'!$A$2:$E$13, 2, FALSE)</f>
        <v>000062101110</v>
      </c>
      <c r="H57" s="8">
        <v>45748</v>
      </c>
      <c r="I57" s="6" t="s">
        <v>15</v>
      </c>
      <c r="J57" s="8">
        <v>45777</v>
      </c>
      <c r="K57" s="13">
        <v>206</v>
      </c>
      <c r="L57" s="9">
        <v>203210</v>
      </c>
      <c r="M57" s="6" t="s">
        <v>31</v>
      </c>
    </row>
    <row r="58" spans="1:13" ht="20" customHeight="1">
      <c r="A58" s="6" t="s">
        <v>13</v>
      </c>
      <c r="B58" s="6" t="s">
        <v>20</v>
      </c>
      <c r="C58" s="6">
        <v>1110</v>
      </c>
      <c r="D58" s="6" t="str">
        <f>VLOOKUP($C58,'[1]data(도시가스)'!$A$2:$E$13, 4, FALSE)</f>
        <v>도시가스</v>
      </c>
      <c r="E58" s="6" t="str">
        <f>VLOOKUP($C58,'[1]data(도시가스)'!$A$2:$E$13, 5, FALSE)</f>
        <v>서부노인복지관</v>
      </c>
      <c r="F58" s="12" t="str">
        <f>VLOOKUP($C58,'[1]data(도시가스)'!$A$2:$E$13, 3, FALSE)</f>
        <v>790012-14-657928</v>
      </c>
      <c r="G58" s="6" t="str">
        <f>VLOOKUP($C58,'[1]data(도시가스)'!$A$2:$E$13, 2, FALSE)</f>
        <v>000062101110</v>
      </c>
      <c r="H58" s="8">
        <v>45778</v>
      </c>
      <c r="I58" s="6" t="s">
        <v>15</v>
      </c>
      <c r="J58" s="8">
        <v>45808</v>
      </c>
      <c r="K58" s="13">
        <v>0</v>
      </c>
      <c r="L58" s="9">
        <v>0</v>
      </c>
      <c r="M58" s="6" t="s">
        <v>31</v>
      </c>
    </row>
    <row r="59" spans="1:13" ht="20" customHeight="1">
      <c r="A59" s="6" t="s">
        <v>13</v>
      </c>
      <c r="B59" s="6" t="s">
        <v>21</v>
      </c>
      <c r="C59" s="6">
        <v>1110</v>
      </c>
      <c r="D59" s="6" t="str">
        <f>VLOOKUP($C59,'[1]data(도시가스)'!$A$2:$E$13, 4, FALSE)</f>
        <v>도시가스</v>
      </c>
      <c r="E59" s="6" t="str">
        <f>VLOOKUP($C59,'[1]data(도시가스)'!$A$2:$E$13, 5, FALSE)</f>
        <v>서부노인복지관</v>
      </c>
      <c r="F59" s="12" t="str">
        <f>VLOOKUP($C59,'[1]data(도시가스)'!$A$2:$E$13, 3, FALSE)</f>
        <v>790012-14-657928</v>
      </c>
      <c r="G59" s="6" t="str">
        <f>VLOOKUP($C59,'[1]data(도시가스)'!$A$2:$E$13, 2, FALSE)</f>
        <v>000062101110</v>
      </c>
      <c r="H59" s="8">
        <v>45809</v>
      </c>
      <c r="I59" s="6" t="s">
        <v>15</v>
      </c>
      <c r="J59" s="8">
        <v>45838</v>
      </c>
      <c r="K59" s="13">
        <v>179</v>
      </c>
      <c r="L59" s="9">
        <v>161090</v>
      </c>
      <c r="M59" s="6" t="s">
        <v>31</v>
      </c>
    </row>
    <row r="60" spans="1:13" ht="20" customHeight="1">
      <c r="A60" s="6" t="s">
        <v>13</v>
      </c>
      <c r="B60" s="6" t="s">
        <v>22</v>
      </c>
      <c r="C60" s="6">
        <v>1110</v>
      </c>
      <c r="D60" s="6" t="str">
        <f>VLOOKUP($C60,'[1]data(도시가스)'!$A$2:$E$13, 4, FALSE)</f>
        <v>도시가스</v>
      </c>
      <c r="E60" s="6" t="str">
        <f>VLOOKUP($C60,'[1]data(도시가스)'!$A$2:$E$13, 5, FALSE)</f>
        <v>서부노인복지관</v>
      </c>
      <c r="F60" s="12" t="str">
        <f>VLOOKUP($C60,'[1]data(도시가스)'!$A$2:$E$13, 3, FALSE)</f>
        <v>790012-14-657928</v>
      </c>
      <c r="G60" s="6" t="str">
        <f>VLOOKUP($C60,'[1]data(도시가스)'!$A$2:$E$13, 2, FALSE)</f>
        <v>000062101110</v>
      </c>
      <c r="H60" s="8">
        <v>45839</v>
      </c>
      <c r="I60" s="6" t="s">
        <v>15</v>
      </c>
      <c r="J60" s="8">
        <v>45869</v>
      </c>
      <c r="K60" s="13">
        <v>622</v>
      </c>
      <c r="L60" s="9">
        <v>536070</v>
      </c>
      <c r="M60" s="6" t="s">
        <v>31</v>
      </c>
    </row>
    <row r="61" spans="1:13" ht="20" customHeight="1">
      <c r="A61" s="6" t="s">
        <v>13</v>
      </c>
      <c r="B61" s="6" t="s">
        <v>23</v>
      </c>
      <c r="C61" s="6">
        <v>1110</v>
      </c>
      <c r="D61" s="6" t="str">
        <f>VLOOKUP($C61,'[1]data(도시가스)'!$A$2:$E$13, 4, FALSE)</f>
        <v>도시가스</v>
      </c>
      <c r="E61" s="6" t="str">
        <f>VLOOKUP($C61,'[1]data(도시가스)'!$A$2:$E$13, 5, FALSE)</f>
        <v>서부노인복지관</v>
      </c>
      <c r="F61" s="12" t="str">
        <f>VLOOKUP($C61,'[1]data(도시가스)'!$A$2:$E$13, 3, FALSE)</f>
        <v>790012-14-657928</v>
      </c>
      <c r="G61" s="6" t="str">
        <f>VLOOKUP($C61,'[1]data(도시가스)'!$A$2:$E$13, 2, FALSE)</f>
        <v>000062101110</v>
      </c>
      <c r="H61" s="8">
        <v>45870</v>
      </c>
      <c r="I61" s="6" t="s">
        <v>15</v>
      </c>
      <c r="J61" s="8">
        <v>45900</v>
      </c>
      <c r="K61" s="13">
        <v>636</v>
      </c>
      <c r="L61" s="9">
        <v>542850</v>
      </c>
      <c r="M61" s="6" t="s">
        <v>31</v>
      </c>
    </row>
    <row r="62" spans="1:13" ht="20" customHeight="1">
      <c r="A62" s="6" t="s">
        <v>13</v>
      </c>
      <c r="B62" s="6" t="s">
        <v>24</v>
      </c>
      <c r="C62" s="6">
        <v>1110</v>
      </c>
      <c r="D62" s="6" t="str">
        <f>VLOOKUP($C62,'[1]data(도시가스)'!$A$2:$E$13, 4, FALSE)</f>
        <v>도시가스</v>
      </c>
      <c r="E62" s="6" t="str">
        <f>VLOOKUP($C62,'[1]data(도시가스)'!$A$2:$E$13, 5, FALSE)</f>
        <v>서부노인복지관</v>
      </c>
      <c r="F62" s="12" t="str">
        <f>VLOOKUP($C62,'[1]data(도시가스)'!$A$2:$E$13, 3, FALSE)</f>
        <v>790012-14-657928</v>
      </c>
      <c r="G62" s="6" t="str">
        <f>VLOOKUP($C62,'[1]data(도시가스)'!$A$2:$E$13, 2, FALSE)</f>
        <v>000062101110</v>
      </c>
      <c r="H62" s="8">
        <v>45901</v>
      </c>
      <c r="I62" s="6" t="s">
        <v>15</v>
      </c>
      <c r="J62" s="8">
        <v>45930</v>
      </c>
      <c r="K62" s="13">
        <v>684</v>
      </c>
      <c r="L62" s="9">
        <v>616710</v>
      </c>
      <c r="M62" s="6" t="s">
        <v>31</v>
      </c>
    </row>
    <row r="63" spans="1:13" ht="20" customHeight="1">
      <c r="A63" s="6" t="s">
        <v>13</v>
      </c>
      <c r="B63" s="6" t="s">
        <v>25</v>
      </c>
      <c r="C63" s="6">
        <v>1110</v>
      </c>
      <c r="D63" s="6" t="str">
        <f>VLOOKUP($C63,'[1]data(도시가스)'!$A$2:$E$13, 4, FALSE)</f>
        <v>도시가스</v>
      </c>
      <c r="E63" s="6" t="str">
        <f>VLOOKUP($C63,'[1]data(도시가스)'!$A$2:$E$13, 5, FALSE)</f>
        <v>서부노인복지관</v>
      </c>
      <c r="F63" s="12" t="str">
        <f>VLOOKUP($C63,'[1]data(도시가스)'!$A$2:$E$13, 3, FALSE)</f>
        <v>790012-14-657928</v>
      </c>
      <c r="G63" s="6" t="str">
        <f>VLOOKUP($C63,'[1]data(도시가스)'!$A$2:$E$13, 2, FALSE)</f>
        <v>000062101110</v>
      </c>
      <c r="H63" s="8">
        <v>45931</v>
      </c>
      <c r="J63" s="8">
        <v>45961</v>
      </c>
      <c r="K63" s="13">
        <v>516</v>
      </c>
      <c r="L63" s="9">
        <v>440980</v>
      </c>
      <c r="M63" s="6" t="s">
        <v>31</v>
      </c>
    </row>
    <row r="64" spans="1:13" ht="20" customHeight="1">
      <c r="A64" s="6" t="s">
        <v>13</v>
      </c>
      <c r="B64" s="6" t="s">
        <v>26</v>
      </c>
      <c r="C64" s="6">
        <v>1110</v>
      </c>
      <c r="D64" s="6" t="str">
        <f>VLOOKUP($C64,'[1]data(도시가스)'!$A$2:$E$13, 4, FALSE)</f>
        <v>도시가스</v>
      </c>
      <c r="E64" s="6" t="str">
        <f>VLOOKUP($C64,'[1]data(도시가스)'!$A$2:$E$13, 5, FALSE)</f>
        <v>서부노인복지관</v>
      </c>
      <c r="F64" s="12" t="str">
        <f>VLOOKUP($C64,'[1]data(도시가스)'!$A$2:$E$13, 3, FALSE)</f>
        <v>790012-14-657928</v>
      </c>
      <c r="G64" s="6" t="str">
        <f>VLOOKUP($C64,'[1]data(도시가스)'!$A$2:$E$13, 2, FALSE)</f>
        <v>000062101110</v>
      </c>
      <c r="H64" s="8">
        <v>45962</v>
      </c>
      <c r="J64" s="8">
        <v>46356</v>
      </c>
      <c r="K64" s="13">
        <v>889.6</v>
      </c>
      <c r="L64" s="9">
        <v>724900</v>
      </c>
      <c r="M64" s="6" t="s">
        <v>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EnergyData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giho gang</cp:lastModifiedBy>
  <dcterms:modified xsi:type="dcterms:W3CDTF">2026-01-12T11:49:46Z</dcterms:modified>
</cp:coreProperties>
</file>